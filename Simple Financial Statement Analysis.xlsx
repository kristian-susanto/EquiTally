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Ready" sheetId="1" r:id="rId5"/>
    <sheet state="visible" name="Divider 1" sheetId="2" r:id="rId6"/>
    <sheet state="visible" name="Q&amp;YTD Ready - Quartely Report" sheetId="3" r:id="rId7"/>
    <sheet state="visible" name="Example of Q&amp;YTD - Quartely Rep" sheetId="4" r:id="rId8"/>
    <sheet state="visible" name="Quarterly - Quartely Report" sheetId="5" r:id="rId9"/>
    <sheet state="visible" name="YTD - Quartely Report" sheetId="6" r:id="rId10"/>
    <sheet state="visible" name="Divider 2" sheetId="7" r:id="rId11"/>
    <sheet state="visible" name="S&amp;YTD Ready - Semester Report" sheetId="8" r:id="rId12"/>
    <sheet state="visible" name="Example of S&amp;YTD - Semester Rep" sheetId="9" r:id="rId13"/>
    <sheet state="visible" name="Semester - Semester Report" sheetId="10" r:id="rId14"/>
    <sheet state="visible" name="Divider 3" sheetId="11" r:id="rId15"/>
    <sheet state="visible" name="Dashboard" sheetId="12" r:id="rId16"/>
  </sheets>
  <definedNames/>
  <calcPr/>
</workbook>
</file>

<file path=xl/sharedStrings.xml><?xml version="1.0" encoding="utf-8"?>
<sst xmlns="http://schemas.openxmlformats.org/spreadsheetml/2006/main" count="605" uniqueCount="80">
  <si>
    <t>#</t>
  </si>
  <si>
    <t>Code</t>
  </si>
  <si>
    <t>Name</t>
  </si>
  <si>
    <t>Description</t>
  </si>
  <si>
    <t>Industry</t>
  </si>
  <si>
    <t>Last Period</t>
  </si>
  <si>
    <t>Base Period</t>
  </si>
  <si>
    <t>PER</t>
  </si>
  <si>
    <t>PBV</t>
  </si>
  <si>
    <t>PEG</t>
  </si>
  <si>
    <t>NPM</t>
  </si>
  <si>
    <t>Sheet Link (LibreOffice Calc)</t>
  </si>
  <si>
    <t>Sheet Link (Microsoft Excel)</t>
  </si>
  <si>
    <t>Copy &amp; Filter</t>
  </si>
  <si>
    <t>/</t>
  </si>
  <si>
    <t>AAAA</t>
  </si>
  <si>
    <t>Integrated Freight &amp; Logistics</t>
  </si>
  <si>
    <t>BBBB</t>
  </si>
  <si>
    <t>Market Data</t>
  </si>
  <si>
    <t>Current</t>
  </si>
  <si>
    <t>FY2025</t>
  </si>
  <si>
    <t>9M2025</t>
  </si>
  <si>
    <t>1H2025</t>
  </si>
  <si>
    <t>1Q2025</t>
  </si>
  <si>
    <t>FY2024</t>
  </si>
  <si>
    <t>9M2024</t>
  </si>
  <si>
    <t>1H2024</t>
  </si>
  <si>
    <t>1Q2024</t>
  </si>
  <si>
    <t>FY2023</t>
  </si>
  <si>
    <t>9M2023</t>
  </si>
  <si>
    <t>1H2023</t>
  </si>
  <si>
    <t>1Q2023</t>
  </si>
  <si>
    <t>FY2022</t>
  </si>
  <si>
    <t>9M2022</t>
  </si>
  <si>
    <t>1H2022</t>
  </si>
  <si>
    <t>1Q2022</t>
  </si>
  <si>
    <t>FY2021</t>
  </si>
  <si>
    <t>9M2021</t>
  </si>
  <si>
    <t>1H2021</t>
  </si>
  <si>
    <t>1Q2021</t>
  </si>
  <si>
    <t>Price</t>
  </si>
  <si>
    <t>Market Capitalization</t>
  </si>
  <si>
    <t>Currency</t>
  </si>
  <si>
    <t>Local Currency</t>
  </si>
  <si>
    <t>Consolidated Statements of Income</t>
  </si>
  <si>
    <t>Period Type</t>
  </si>
  <si>
    <t>Quarterly</t>
  </si>
  <si>
    <t>YTD</t>
  </si>
  <si>
    <t>Revenue</t>
  </si>
  <si>
    <t>Net Income</t>
  </si>
  <si>
    <t>Revenue (Quarterly)</t>
  </si>
  <si>
    <t>Revenue (YTD)</t>
  </si>
  <si>
    <t>Revenue Growth (YoY)</t>
  </si>
  <si>
    <t>Net Income (Quarterly)</t>
  </si>
  <si>
    <t>Net Income (YTD)</t>
  </si>
  <si>
    <t>Net Income Growth (YoY)</t>
  </si>
  <si>
    <t>Shares Outstanding</t>
  </si>
  <si>
    <t>Consolidated Balance Sheets</t>
  </si>
  <si>
    <t>Shareholders' Equity</t>
  </si>
  <si>
    <t>Ratio Analysis</t>
  </si>
  <si>
    <t>Earnings</t>
  </si>
  <si>
    <t>Earnings Per Share (EPS) (Quarterly)</t>
  </si>
  <si>
    <t>Earnings Per Share (EPS) (YTD)</t>
  </si>
  <si>
    <t>Book Value Per Share (BVPS)</t>
  </si>
  <si>
    <t>Valuation</t>
  </si>
  <si>
    <t>Price Earnings Ratio (PER) (TTM)</t>
  </si>
  <si>
    <t>Price Book Value (PBV)</t>
  </si>
  <si>
    <t>Price Earnings Growth (PEG)</t>
  </si>
  <si>
    <t>Profitability</t>
  </si>
  <si>
    <t>Net Profit Margin (NPM)</t>
  </si>
  <si>
    <t>Fair Price Scenario</t>
  </si>
  <si>
    <t>5-Year EPS CAGR</t>
  </si>
  <si>
    <t>Target PER (PEG 1.0x)</t>
  </si>
  <si>
    <t>Intrinsic Value</t>
  </si>
  <si>
    <t>Upside / (Downside)</t>
  </si>
  <si>
    <t>Beverages - Non-Alcoholic</t>
  </si>
  <si>
    <t>Semester</t>
  </si>
  <si>
    <t>AAA/BBB</t>
  </si>
  <si>
    <t>AAA/CCC</t>
  </si>
  <si>
    <t>AAA/DDD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</si>
</sst>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0000"/>
    <numFmt numFmtId="165" formatCode="_-* #,##0_-;\-* #,##0_-;_-* &quot;-&quot;??_-;_-@"/>
    <numFmt numFmtId="166" formatCode="#,##0.00%"/>
    <numFmt numFmtId="167" formatCode="_-* #,##0_-;\-* #,##0_-;_-* &quot;-&quot;_-;_-@"/>
    <numFmt numFmtId="168" formatCode="_-* #,##0.00_-;\-* #,##0.00_-;_-* &quot;-&quot;??_-;_-@"/>
    <numFmt numFmtId="169" formatCode="#,##0.0000"/>
  </numFmts>
  <fonts count="5">
    <font>
      <sz val="10.0"/>
      <color rgb="FF000000"/>
      <name val="Arial"/>
      <scheme val="minor"/>
    </font>
    <font>
      <color theme="1"/>
      <name val="Arial"/>
    </font>
    <font>
      <u/>
      <color rgb="FF0000FF"/>
      <name val="Arial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4" xfId="0" applyAlignment="1" applyFont="1" applyNumberFormat="1">
      <alignment horizontal="right" shrinkToFit="0" vertical="center" wrapText="0"/>
    </xf>
    <xf borderId="0" fillId="0" fontId="1" numFmtId="3" xfId="0" applyAlignment="1" applyFont="1" applyNumberFormat="1">
      <alignment horizontal="right" shrinkToFit="0" vertical="bottom" wrapText="0"/>
    </xf>
    <xf borderId="0" fillId="0" fontId="1" numFmtId="10" xfId="0" applyAlignment="1" applyFont="1" applyNumberFormat="1">
      <alignment horizontal="right" shrinkToFit="0" vertical="center" wrapText="0"/>
    </xf>
    <xf borderId="0" fillId="0" fontId="2" numFmtId="0" xfId="0" applyAlignment="1" applyFont="1">
      <alignment horizontal="left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horizontal="righ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vertical="center"/>
    </xf>
    <xf borderId="1" fillId="0" fontId="3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horizontal="right" readingOrder="0"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horizontal="right" shrinkToFit="0" vertical="center" wrapText="0"/>
    </xf>
    <xf borderId="0" fillId="0" fontId="1" numFmtId="167" xfId="0" applyAlignment="1" applyFont="1" applyNumberForma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1" numFmtId="168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168" xfId="0" applyAlignment="1" applyFont="1" applyNumberFormat="1">
      <alignment shrinkToFit="0" vertical="center" wrapText="0"/>
    </xf>
    <xf borderId="0" fillId="0" fontId="4" numFmtId="166" xfId="0" applyAlignment="1" applyFont="1" applyNumberFormat="1">
      <alignment vertical="center"/>
    </xf>
    <xf borderId="0" fillId="0" fontId="1" numFmtId="169" xfId="0" applyAlignment="1" applyFont="1" applyNumberFormat="1">
      <alignment horizontal="right" shrinkToFit="0" vertical="center" wrapText="0"/>
    </xf>
    <xf borderId="0" fillId="0" fontId="1" numFmtId="169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169" xfId="0" applyAlignment="1" applyFont="1" applyNumberFormat="1">
      <alignment shrinkToFit="0" vertical="center" wrapText="0"/>
    </xf>
    <xf borderId="0" fillId="0" fontId="4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63"/>
    <col customWidth="1" min="2" max="2" width="12.63"/>
    <col customWidth="1" min="3" max="5" width="22.0"/>
    <col customWidth="1" min="6" max="11" width="12.63"/>
    <col customWidth="1" min="12" max="13" width="25.13"/>
    <col customWidth="1" min="14" max="14" width="6.38"/>
    <col customWidth="1" min="29" max="29" width="6.38"/>
    <col customWidth="1" min="32" max="32" width="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1" t="s">
        <v>13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" t="s">
        <v>14</v>
      </c>
      <c r="AE1" s="2"/>
      <c r="AF1" s="2"/>
    </row>
    <row r="2">
      <c r="A2" s="1">
        <v>1.0</v>
      </c>
      <c r="B2" s="1" t="s">
        <v>15</v>
      </c>
      <c r="C2" s="2"/>
      <c r="D2" s="2"/>
      <c r="E2" s="2" t="str">
        <f t="shared" ref="E2:E3" si="1">IFERROR(INDIRECT("'" &amp; $B2 &amp; "'!B1"), "")</f>
        <v/>
      </c>
      <c r="F2" s="5" t="str">
        <f t="shared" ref="F2:F3" si="2">IFERROR(INDIRECT("'" &amp; $B2 &amp; "'!C2"), "")</f>
        <v/>
      </c>
      <c r="G2" s="5" t="str">
        <f t="shared" ref="G2:G3" si="3">IFERROR(INDIRECT("'" &amp; $B2 &amp; "'!" &amp; ADDRESS(2, COUNTA(INDIRECT("'" &amp; $B2 &amp; "'!2:2")))), "")</f>
        <v/>
      </c>
      <c r="H2" s="6" t="str">
        <f t="shared" ref="H2:H3" si="4">IFERROR(INDIRECT("'" &amp; $B2 &amp; "'!C35"), "")</f>
        <v/>
      </c>
      <c r="I2" s="6" t="str">
        <f t="shared" ref="I2:I3" si="5">IFERROR(INDIRECT("'" &amp; $B2 &amp; "'!C36"), "")</f>
        <v/>
      </c>
      <c r="J2" s="6" t="str">
        <f t="shared" ref="J2:J3" si="6">IFERROR(INDIRECT("'" &amp; $B2 &amp; "'!C37"), "")</f>
        <v/>
      </c>
      <c r="K2" s="8" t="str">
        <f t="shared" ref="K2:K3" si="7">IFERROR(INDIRECT("'" &amp; $B2 &amp; "'!C40"), "")</f>
        <v/>
      </c>
      <c r="L2" s="9" t="str">
        <f t="shared" ref="L2:L3" si="8">HYPERLINK("#" &amp; $B2 &amp; ".A1", $B2 &amp; " Worksheet")</f>
        <v>AAAA Worksheet</v>
      </c>
      <c r="M2" s="9" t="str">
        <f t="shared" ref="M2:M3" si="9">HYPERLINK("#'" &amp; $B2 &amp; "'!A1", $B2 &amp; " Worksheet")</f>
        <v>AAAA Worksheet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2">
        <f>A2+1</f>
        <v>2</v>
      </c>
      <c r="B3" s="1" t="s">
        <v>17</v>
      </c>
      <c r="C3" s="2"/>
      <c r="D3" s="2"/>
      <c r="E3" s="2" t="str">
        <f t="shared" si="1"/>
        <v/>
      </c>
      <c r="F3" s="5" t="str">
        <f t="shared" si="2"/>
        <v/>
      </c>
      <c r="G3" s="5" t="str">
        <f t="shared" si="3"/>
        <v/>
      </c>
      <c r="H3" s="6" t="str">
        <f t="shared" si="4"/>
        <v/>
      </c>
      <c r="I3" s="6" t="str">
        <f t="shared" si="5"/>
        <v/>
      </c>
      <c r="J3" s="6" t="str">
        <f t="shared" si="6"/>
        <v/>
      </c>
      <c r="K3" s="8" t="str">
        <f t="shared" si="7"/>
        <v/>
      </c>
      <c r="L3" s="9" t="str">
        <f t="shared" si="8"/>
        <v>BBBB Worksheet</v>
      </c>
      <c r="M3" s="9" t="str">
        <f t="shared" si="9"/>
        <v>BBBB Worksheet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0.13"/>
    <col customWidth="1" min="2" max="22" width="19.5"/>
    <col customWidth="1" min="23" max="41" width="2.0"/>
  </cols>
  <sheetData>
    <row r="1">
      <c r="A1" s="3" t="s">
        <v>15</v>
      </c>
      <c r="B1" s="4" t="s">
        <v>16</v>
      </c>
      <c r="C1" s="7">
        <f t="array" ref="C1">IF(C$7="Local Currency",1,_xlfn.XLOOKUP(C$2,OFFSET(Dashboard!$A:$A,0,MATCH(C$7,Dashboard!$1:$1,0)-1),OFFSET(Dashboard!$A:$A,0,MATCH(C$7,Dashboard!$1:$1,0))))</f>
        <v>1</v>
      </c>
      <c r="D1" s="7">
        <f t="array" ref="D1">IF(D$7="Local Currency",1,_xlfn.XLOOKUP(D$2,OFFSET(Dashboard!$A:$A,0,MATCH(D$7,Dashboard!$1:$1,0)-1),OFFSET(Dashboard!$A:$A,0,MATCH(D$7,Dashboard!$1:$1,0))))</f>
        <v>1</v>
      </c>
      <c r="E1" s="7">
        <f t="array" ref="E1">IF(E$7="Local Currency",1,_xlfn.XLOOKUP(E$2,OFFSET(Dashboard!$A:$A,0,MATCH(E$7,Dashboard!$1:$1,0)-1),OFFSET(Dashboard!$A:$A,0,MATCH(E$7,Dashboard!$1:$1,0))))</f>
        <v>1</v>
      </c>
      <c r="F1" s="7">
        <f t="array" ref="F1">IF(F$7="Local Currency",1,_xlfn.XLOOKUP(F$2,OFFSET(Dashboard!$A:$A,0,MATCH(F$7,Dashboard!$1:$1,0)-1),OFFSET(Dashboard!$A:$A,0,MATCH(F$7,Dashboard!$1:$1,0))))</f>
        <v>1</v>
      </c>
      <c r="G1" s="7">
        <f t="array" ref="G1">IF(G$7="Local Currency",1,_xlfn.XLOOKUP(G$2,OFFSET(Dashboard!$A:$A,0,MATCH(G$7,Dashboard!$1:$1,0)-1),OFFSET(Dashboard!$A:$A,0,MATCH(G$7,Dashboard!$1:$1,0))))</f>
        <v>1</v>
      </c>
      <c r="H1" s="7">
        <f t="array" ref="H1">IF(H$7="Local Currency",1,_xlfn.XLOOKUP(H$2,OFFSET(Dashboard!$A:$A,0,MATCH(H$7,Dashboard!$1:$1,0)-1),OFFSET(Dashboard!$A:$A,0,MATCH(H$7,Dashboard!$1:$1,0))))</f>
        <v>1</v>
      </c>
      <c r="I1" s="7">
        <f t="array" ref="I1">IF(I$7="Local Currency",1,_xlfn.XLOOKUP(I$2,OFFSET(Dashboard!$A:$A,0,MATCH(I$7,Dashboard!$1:$1,0)-1),OFFSET(Dashboard!$A:$A,0,MATCH(I$7,Dashboard!$1:$1,0))))</f>
        <v>1</v>
      </c>
      <c r="J1" s="7">
        <f t="array" ref="J1">IF(J$7="Local Currency",1,_xlfn.XLOOKUP(J$2,OFFSET(Dashboard!$A:$A,0,MATCH(J$7,Dashboard!$1:$1,0)-1),OFFSET(Dashboard!$A:$A,0,MATCH(J$7,Dashboard!$1:$1,0))))</f>
        <v>1</v>
      </c>
      <c r="K1" s="7">
        <f t="array" ref="K1">IF(K$7="Local Currency",1,_xlfn.XLOOKUP(K$2,OFFSET(Dashboard!$A:$A,0,MATCH(K$7,Dashboard!$1:$1,0)-1),OFFSET(Dashboard!$A:$A,0,MATCH(K$7,Dashboard!$1:$1,0))))</f>
        <v>1</v>
      </c>
      <c r="L1" s="7">
        <f t="array" ref="L1">IF(L$7="Local Currency",1,_xlfn.XLOOKUP(L$2,OFFSET(Dashboard!$A:$A,0,MATCH(L$7,Dashboard!$1:$1,0)-1),OFFSET(Dashboard!$A:$A,0,MATCH(L$7,Dashboard!$1:$1,0))))</f>
        <v>1</v>
      </c>
      <c r="M1" s="7">
        <f t="array" ref="M1">IF(M$7="Local Currency",1,_xlfn.XLOOKUP(M$2,OFFSET(Dashboard!$A:$A,0,MATCH(M$7,Dashboard!$1:$1,0)-1),OFFSET(Dashboard!$A:$A,0,MATCH(M$7,Dashboard!$1:$1,0))))</f>
        <v>1</v>
      </c>
      <c r="N1" s="7">
        <f t="array" ref="N1">IF(N$7="Local Currency",1,_xlfn.XLOOKUP(N$2,OFFSET(Dashboard!$A:$A,0,MATCH(N$7,Dashboard!$1:$1,0)-1),OFFSET(Dashboard!$A:$A,0,MATCH(N$7,Dashboard!$1:$1,0))))</f>
        <v>1</v>
      </c>
      <c r="O1" s="7">
        <f t="array" ref="O1">IF(O$7="Local Currency",1,_xlfn.XLOOKUP(O$2,OFFSET(Dashboard!$A:$A,0,MATCH(O$7,Dashboard!$1:$1,0)-1),OFFSET(Dashboard!$A:$A,0,MATCH(O$7,Dashboard!$1:$1,0))))</f>
        <v>1</v>
      </c>
      <c r="P1" s="7">
        <f t="array" ref="P1">IF(P$7="Local Currency",1,_xlfn.XLOOKUP(P$2,OFFSET(Dashboard!$A:$A,0,MATCH(P$7,Dashboard!$1:$1,0)-1),OFFSET(Dashboard!$A:$A,0,MATCH(P$7,Dashboard!$1:$1,0))))</f>
        <v>1</v>
      </c>
      <c r="Q1" s="7">
        <f t="array" ref="Q1">IF(Q$7="Local Currency",1,_xlfn.XLOOKUP(Q$2,OFFSET(Dashboard!$A:$A,0,MATCH(Q$7,Dashboard!$1:$1,0)-1),OFFSET(Dashboard!$A:$A,0,MATCH(Q$7,Dashboard!$1:$1,0))))</f>
        <v>1</v>
      </c>
      <c r="R1" s="7">
        <f t="array" ref="R1">IF(R$7="Local Currency",1,_xlfn.XLOOKUP(R$2,OFFSET(Dashboard!$A:$A,0,MATCH(R$7,Dashboard!$1:$1,0)-1),OFFSET(Dashboard!$A:$A,0,MATCH(R$7,Dashboard!$1:$1,0))))</f>
        <v>1</v>
      </c>
      <c r="S1" s="7">
        <f t="array" ref="S1">IF(S$7="Local Currency",1,_xlfn.XLOOKUP(S$2,OFFSET(Dashboard!$A:$A,0,MATCH(S$7,Dashboard!$1:$1,0)-1),OFFSET(Dashboard!$A:$A,0,MATCH(S$7,Dashboard!$1:$1,0))))</f>
        <v>1</v>
      </c>
      <c r="T1" s="7">
        <f t="array" ref="T1">IF(T$7="Local Currency",1,_xlfn.XLOOKUP(T$2,OFFSET(Dashboard!$A:$A,0,MATCH(T$7,Dashboard!$1:$1,0)-1),OFFSET(Dashboard!$A:$A,0,MATCH(T$7,Dashboard!$1:$1,0))))</f>
        <v>1</v>
      </c>
      <c r="U1" s="7">
        <f t="array" ref="U1">IF(U$7="Local Currency",1,_xlfn.XLOOKUP(U$2,OFFSET(Dashboard!$A:$A,0,MATCH(U$7,Dashboard!$1:$1,0)-1),OFFSET(Dashboard!$A:$A,0,MATCH(U$7,Dashboard!$1:$1,0))))</f>
        <v>1</v>
      </c>
      <c r="V1" s="7">
        <f t="array" ref="V1">IF(V$7="Local Currency",1,_xlfn.XLOOKUP(V$2,OFFSET(Dashboard!$A:$A,0,MATCH(V$7,Dashboard!$1:$1,0)-1),OFFSET(Dashboard!$A:$A,0,MATCH(V$7,Dashboard!$1:$1,0))))</f>
        <v>1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10" t="s">
        <v>18</v>
      </c>
      <c r="B2" s="11" t="s">
        <v>19</v>
      </c>
      <c r="C2" s="12" t="s">
        <v>20</v>
      </c>
      <c r="D2" s="11" t="s">
        <v>21</v>
      </c>
      <c r="E2" s="11" t="s">
        <v>22</v>
      </c>
      <c r="F2" s="11" t="s">
        <v>23</v>
      </c>
      <c r="G2" s="12" t="s">
        <v>24</v>
      </c>
      <c r="H2" s="11" t="s">
        <v>25</v>
      </c>
      <c r="I2" s="11" t="s">
        <v>26</v>
      </c>
      <c r="J2" s="11" t="s">
        <v>27</v>
      </c>
      <c r="K2" s="12" t="s">
        <v>28</v>
      </c>
      <c r="L2" s="12" t="s">
        <v>29</v>
      </c>
      <c r="M2" s="12" t="s">
        <v>30</v>
      </c>
      <c r="N2" s="12" t="s">
        <v>31</v>
      </c>
      <c r="O2" s="12" t="s">
        <v>32</v>
      </c>
      <c r="P2" s="12" t="s">
        <v>33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38</v>
      </c>
      <c r="V2" s="12" t="s">
        <v>39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>
      <c r="A3" s="4" t="s">
        <v>40</v>
      </c>
      <c r="B3" s="13">
        <v>1335.0</v>
      </c>
      <c r="C3" s="13">
        <v>1385.0</v>
      </c>
      <c r="D3" s="13">
        <v>1065.0</v>
      </c>
      <c r="E3" s="13">
        <v>1010.0</v>
      </c>
      <c r="F3" s="13">
        <v>775.0</v>
      </c>
      <c r="G3" s="13">
        <v>705.0</v>
      </c>
      <c r="H3" s="13">
        <v>685.0</v>
      </c>
      <c r="I3" s="13">
        <v>670.0</v>
      </c>
      <c r="J3" s="13">
        <v>690.0</v>
      </c>
      <c r="K3" s="13">
        <v>715.0</v>
      </c>
      <c r="L3" s="13">
        <v>710.0</v>
      </c>
      <c r="M3" s="13">
        <v>765.0</v>
      </c>
      <c r="N3" s="13">
        <v>625.0</v>
      </c>
      <c r="O3" s="13">
        <v>570.0</v>
      </c>
      <c r="P3" s="13">
        <v>505.0</v>
      </c>
      <c r="Q3" s="13">
        <v>615.0</v>
      </c>
      <c r="R3" s="13">
        <v>550.0</v>
      </c>
      <c r="S3" s="13">
        <v>515.0</v>
      </c>
      <c r="T3" s="13">
        <v>595.0</v>
      </c>
      <c r="U3" s="13">
        <v>490.0</v>
      </c>
      <c r="V3" s="13">
        <v>595.0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>
      <c r="A5" s="14" t="s">
        <v>41</v>
      </c>
      <c r="B5" s="16">
        <f>B$3*OFFSET(B$5,0,1)/OFFSET(B$3,0,1)</f>
        <v>2427178984665</v>
      </c>
      <c r="C5" s="16">
        <f t="shared" ref="C5:V5" si="1">C$23*C$3</f>
        <v>2518084564615</v>
      </c>
      <c r="D5" s="16">
        <f t="shared" si="1"/>
        <v>1936684063785</v>
      </c>
      <c r="E5" s="16">
        <f t="shared" si="1"/>
        <v>1836493590860</v>
      </c>
      <c r="F5" s="16">
        <f t="shared" si="1"/>
        <v>1409291726950</v>
      </c>
      <c r="G5" s="16">
        <f t="shared" si="1"/>
        <v>1281580755315</v>
      </c>
      <c r="H5" s="16">
        <f t="shared" si="1"/>
        <v>1245773686145</v>
      </c>
      <c r="I5" s="16">
        <f t="shared" si="1"/>
        <v>1218278165400</v>
      </c>
      <c r="J5" s="16">
        <f t="shared" si="1"/>
        <v>1254740877600</v>
      </c>
      <c r="K5" s="16">
        <f t="shared" si="1"/>
        <v>1300073125065</v>
      </c>
      <c r="L5" s="16">
        <f t="shared" si="1"/>
        <v>1291061740070</v>
      </c>
      <c r="M5" s="16">
        <f t="shared" si="1"/>
        <v>1390984219890</v>
      </c>
      <c r="N5" s="16">
        <f t="shared" si="1"/>
        <v>1136544136250</v>
      </c>
      <c r="O5" s="16">
        <f t="shared" si="1"/>
        <v>1036418339730</v>
      </c>
      <c r="P5" s="16">
        <f t="shared" si="1"/>
        <v>918284327535</v>
      </c>
      <c r="Q5" s="16">
        <f t="shared" si="1"/>
        <v>1118124564645</v>
      </c>
      <c r="R5" s="16">
        <f t="shared" si="1"/>
        <v>1000274532950</v>
      </c>
      <c r="S5" s="16">
        <f t="shared" si="1"/>
        <v>937082125645</v>
      </c>
      <c r="T5" s="16">
        <f t="shared" si="1"/>
        <v>1080863816585</v>
      </c>
      <c r="U5" s="16">
        <f t="shared" si="1"/>
        <v>891089235890</v>
      </c>
      <c r="V5" s="16">
        <f t="shared" si="1"/>
        <v>1082036929295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</row>
    <row r="7">
      <c r="A7" s="4" t="s">
        <v>42</v>
      </c>
      <c r="B7" s="19" t="str">
        <f t="array" ref="B7">IF(COUNTIF($C7:$7,INDEX($C7:$7,MATCH(TRUE,$C7:$7&lt;&gt;"",0)))=COUNTIF($C7:$7,"&lt;&gt;"),"All "&amp;INDEX($C7:$7,MATCH(TRUE,$C7:$7&lt;&gt;"",0)),INDEX($C7:$7,MATCH(MAX(INDEX(COUNTIF($C7:$7,$C7:$7),0)),INDEX(COUNTIF($C7:$7,$C7:$7),0),0))&amp;" Dominant")</f>
        <v>All Local Currency</v>
      </c>
      <c r="C7" s="19" t="s">
        <v>43</v>
      </c>
      <c r="D7" s="19" t="s">
        <v>43</v>
      </c>
      <c r="E7" s="19" t="s">
        <v>43</v>
      </c>
      <c r="F7" s="19" t="s">
        <v>43</v>
      </c>
      <c r="G7" s="19" t="s">
        <v>43</v>
      </c>
      <c r="H7" s="19" t="s">
        <v>43</v>
      </c>
      <c r="I7" s="19" t="s">
        <v>43</v>
      </c>
      <c r="J7" s="19" t="s">
        <v>43</v>
      </c>
      <c r="K7" s="19" t="s">
        <v>43</v>
      </c>
      <c r="L7" s="19" t="s">
        <v>43</v>
      </c>
      <c r="M7" s="19" t="s">
        <v>43</v>
      </c>
      <c r="N7" s="19" t="s">
        <v>43</v>
      </c>
      <c r="O7" s="19" t="s">
        <v>43</v>
      </c>
      <c r="P7" s="19" t="s">
        <v>43</v>
      </c>
      <c r="Q7" s="19" t="s">
        <v>43</v>
      </c>
      <c r="R7" s="19" t="s">
        <v>43</v>
      </c>
      <c r="S7" s="19" t="s">
        <v>43</v>
      </c>
      <c r="T7" s="19" t="s">
        <v>43</v>
      </c>
      <c r="U7" s="19" t="s">
        <v>43</v>
      </c>
      <c r="V7" s="19" t="s">
        <v>43</v>
      </c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>
      <c r="A8" s="17"/>
      <c r="B8" s="20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</row>
    <row r="9">
      <c r="A9" s="21" t="s">
        <v>44</v>
      </c>
      <c r="B9" s="11" t="str">
        <f t="shared" ref="B9:V9" si="2">B$2</f>
        <v>Current</v>
      </c>
      <c r="C9" s="11" t="str">
        <f t="shared" si="2"/>
        <v>FY2025</v>
      </c>
      <c r="D9" s="11" t="str">
        <f t="shared" si="2"/>
        <v>9M2025</v>
      </c>
      <c r="E9" s="11" t="str">
        <f t="shared" si="2"/>
        <v>1H2025</v>
      </c>
      <c r="F9" s="11" t="str">
        <f t="shared" si="2"/>
        <v>1Q2025</v>
      </c>
      <c r="G9" s="11" t="str">
        <f t="shared" si="2"/>
        <v>FY2024</v>
      </c>
      <c r="H9" s="11" t="str">
        <f t="shared" si="2"/>
        <v>9M2024</v>
      </c>
      <c r="I9" s="11" t="str">
        <f t="shared" si="2"/>
        <v>1H2024</v>
      </c>
      <c r="J9" s="11" t="str">
        <f t="shared" si="2"/>
        <v>1Q2024</v>
      </c>
      <c r="K9" s="11" t="str">
        <f t="shared" si="2"/>
        <v>FY2023</v>
      </c>
      <c r="L9" s="11" t="str">
        <f t="shared" si="2"/>
        <v>9M2023</v>
      </c>
      <c r="M9" s="11" t="str">
        <f t="shared" si="2"/>
        <v>1H2023</v>
      </c>
      <c r="N9" s="11" t="str">
        <f t="shared" si="2"/>
        <v>1Q2023</v>
      </c>
      <c r="O9" s="11" t="str">
        <f t="shared" si="2"/>
        <v>FY2022</v>
      </c>
      <c r="P9" s="11" t="str">
        <f t="shared" si="2"/>
        <v>9M2022</v>
      </c>
      <c r="Q9" s="11" t="str">
        <f t="shared" si="2"/>
        <v>1H2022</v>
      </c>
      <c r="R9" s="11" t="str">
        <f t="shared" si="2"/>
        <v>1Q2022</v>
      </c>
      <c r="S9" s="11" t="str">
        <f t="shared" si="2"/>
        <v>FY2021</v>
      </c>
      <c r="T9" s="11" t="str">
        <f t="shared" si="2"/>
        <v>9M2021</v>
      </c>
      <c r="U9" s="11" t="str">
        <f t="shared" si="2"/>
        <v>1H2021</v>
      </c>
      <c r="V9" s="11" t="str">
        <f t="shared" si="2"/>
        <v>1Q2021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>
      <c r="A10" s="4" t="s">
        <v>45</v>
      </c>
      <c r="B10" s="19" t="str">
        <f t="array" ref="B10">IF(COUNTIF($C10:$10,INDEX($C10:$10,MATCH(TRUE,$C10:$10&lt;&gt;"",0)))=COUNTIF($C10:$10,"&lt;&gt;"),"All "&amp;INDEX($C10:$10,MATCH(TRUE,$C10:$10&lt;&gt;"",0)),INDEX($C10:$10,MATCH(MAX(INDEX(COUNTIF($C10:$10,$C10:$10),0)),INDEX(COUNTIF($C10:$10,$C10:$10),0),0))&amp;" Dominant")</f>
        <v>All Quarterly</v>
      </c>
      <c r="C10" s="22" t="s">
        <v>46</v>
      </c>
      <c r="D10" s="22" t="s">
        <v>46</v>
      </c>
      <c r="E10" s="22" t="s">
        <v>46</v>
      </c>
      <c r="F10" s="22" t="s">
        <v>46</v>
      </c>
      <c r="G10" s="22" t="s">
        <v>46</v>
      </c>
      <c r="H10" s="22" t="s">
        <v>46</v>
      </c>
      <c r="I10" s="22" t="s">
        <v>46</v>
      </c>
      <c r="J10" s="22" t="s">
        <v>46</v>
      </c>
      <c r="K10" s="22" t="s">
        <v>46</v>
      </c>
      <c r="L10" s="22" t="s">
        <v>46</v>
      </c>
      <c r="M10" s="22" t="s">
        <v>46</v>
      </c>
      <c r="N10" s="22" t="s">
        <v>46</v>
      </c>
      <c r="O10" s="22" t="s">
        <v>46</v>
      </c>
      <c r="P10" s="22" t="s">
        <v>46</v>
      </c>
      <c r="Q10" s="22" t="s">
        <v>46</v>
      </c>
      <c r="R10" s="22" t="s">
        <v>46</v>
      </c>
      <c r="S10" s="22" t="s">
        <v>46</v>
      </c>
      <c r="T10" s="22" t="s">
        <v>46</v>
      </c>
      <c r="U10" s="22" t="s">
        <v>46</v>
      </c>
      <c r="V10" s="22" t="s">
        <v>46</v>
      </c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</row>
    <row r="11">
      <c r="A11" s="23"/>
      <c r="B11" s="17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</row>
    <row r="12">
      <c r="A12" s="4" t="s">
        <v>48</v>
      </c>
      <c r="B12" s="17"/>
      <c r="C12" s="24">
        <v>2.69720224E11</v>
      </c>
      <c r="D12" s="24">
        <v>2.44690118E11</v>
      </c>
      <c r="E12" s="24">
        <v>2.12278201E11</v>
      </c>
      <c r="F12" s="24">
        <v>2.03271873E11</v>
      </c>
      <c r="G12" s="24">
        <v>2.3877201E11</v>
      </c>
      <c r="H12" s="24">
        <v>2.25562144E11</v>
      </c>
      <c r="I12" s="24">
        <v>1.84623863E11</v>
      </c>
      <c r="J12" s="24">
        <v>1.75637819E11</v>
      </c>
      <c r="K12" s="24">
        <v>1.87042816E11</v>
      </c>
      <c r="L12" s="24">
        <v>1.812019E11</v>
      </c>
      <c r="M12" s="24">
        <v>1.75808477E11</v>
      </c>
      <c r="N12" s="24">
        <v>1.91151747E11</v>
      </c>
      <c r="O12" s="24">
        <v>2.18233269E11</v>
      </c>
      <c r="P12" s="24">
        <v>2.06003408E11</v>
      </c>
      <c r="Q12" s="24">
        <v>1.52290456E11</v>
      </c>
      <c r="R12" s="24">
        <v>1.50046126E11</v>
      </c>
      <c r="S12" s="24">
        <v>1.69064709E11</v>
      </c>
      <c r="T12" s="24">
        <v>1.14487473E11</v>
      </c>
      <c r="U12" s="24">
        <v>1.13360881E11</v>
      </c>
      <c r="V12" s="24">
        <v>1.19923887E11</v>
      </c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</row>
    <row r="13">
      <c r="A13" s="4" t="s">
        <v>49</v>
      </c>
      <c r="B13" s="17"/>
      <c r="C13" s="24">
        <v>6.621597E10</v>
      </c>
      <c r="D13" s="24">
        <v>7.6450065E10</v>
      </c>
      <c r="E13" s="24">
        <v>6.2675757E10</v>
      </c>
      <c r="F13" s="24">
        <v>5.1170928E10</v>
      </c>
      <c r="G13" s="24">
        <v>6.4191999E10</v>
      </c>
      <c r="H13" s="24">
        <v>6.7336572E10</v>
      </c>
      <c r="I13" s="24">
        <v>4.2299859E10</v>
      </c>
      <c r="J13" s="24">
        <v>3.8387797E10</v>
      </c>
      <c r="K13" s="24">
        <v>4.8911907E10</v>
      </c>
      <c r="L13" s="24">
        <v>6.3025448E10</v>
      </c>
      <c r="M13" s="24">
        <v>3.6583493E10</v>
      </c>
      <c r="N13" s="24">
        <v>4.2333996E10</v>
      </c>
      <c r="O13" s="24">
        <v>5.2829242E10</v>
      </c>
      <c r="P13" s="24">
        <v>6.3479716E10</v>
      </c>
      <c r="Q13" s="24">
        <v>1.0151585E10</v>
      </c>
      <c r="R13" s="24">
        <v>3.5264224E10</v>
      </c>
      <c r="S13" s="24">
        <v>4.3459819E10</v>
      </c>
      <c r="T13" s="24">
        <v>1.763922E9</v>
      </c>
      <c r="U13" s="24">
        <v>-3.058854E9</v>
      </c>
      <c r="V13" s="24">
        <v>1.7891287E10</v>
      </c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</row>
    <row r="14">
      <c r="A14" s="23"/>
      <c r="B14" s="17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</row>
    <row r="15">
      <c r="A15" s="23" t="s">
        <v>50</v>
      </c>
      <c r="B15" s="14"/>
      <c r="C15" s="24">
        <f t="shared" ref="C15:V15" si="3">IF(C$10="Quarterly",C$12,IF(LEFT(C$2,2)="1Q",C$16,C$16-D$16))</f>
        <v>269720224000</v>
      </c>
      <c r="D15" s="24">
        <f t="shared" si="3"/>
        <v>244690118000</v>
      </c>
      <c r="E15" s="24">
        <f t="shared" si="3"/>
        <v>212278201000</v>
      </c>
      <c r="F15" s="24">
        <f t="shared" si="3"/>
        <v>203271873000</v>
      </c>
      <c r="G15" s="24">
        <f t="shared" si="3"/>
        <v>238772010000</v>
      </c>
      <c r="H15" s="24">
        <f t="shared" si="3"/>
        <v>225562144000</v>
      </c>
      <c r="I15" s="24">
        <f t="shared" si="3"/>
        <v>184623863000</v>
      </c>
      <c r="J15" s="24">
        <f t="shared" si="3"/>
        <v>175637819000</v>
      </c>
      <c r="K15" s="24">
        <f t="shared" si="3"/>
        <v>187042816000</v>
      </c>
      <c r="L15" s="24">
        <f t="shared" si="3"/>
        <v>181201900000</v>
      </c>
      <c r="M15" s="24">
        <f t="shared" si="3"/>
        <v>175808477000</v>
      </c>
      <c r="N15" s="24">
        <f t="shared" si="3"/>
        <v>191151747000</v>
      </c>
      <c r="O15" s="24">
        <f t="shared" si="3"/>
        <v>218233269000</v>
      </c>
      <c r="P15" s="24">
        <f t="shared" si="3"/>
        <v>206003408000</v>
      </c>
      <c r="Q15" s="24">
        <f t="shared" si="3"/>
        <v>152290456000</v>
      </c>
      <c r="R15" s="24">
        <f t="shared" si="3"/>
        <v>150046126000</v>
      </c>
      <c r="S15" s="24">
        <f t="shared" si="3"/>
        <v>169064709000</v>
      </c>
      <c r="T15" s="24">
        <f t="shared" si="3"/>
        <v>114487473000</v>
      </c>
      <c r="U15" s="24">
        <f t="shared" si="3"/>
        <v>113360881000</v>
      </c>
      <c r="V15" s="24">
        <f t="shared" si="3"/>
        <v>119923887000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>
      <c r="A16" s="23" t="s">
        <v>51</v>
      </c>
      <c r="B16" s="17"/>
      <c r="C16" s="25">
        <f t="shared" ref="C16:V16" si="4">IF(C$10="YTD",C$12,IF(LEFT(C$2,2)="1Q",C$15,IF(LEFT(C$2,2)="1H",SUM(C$15:D$15),IF(LEFT(C$2,2)="9M",SUM(C$15:E$15),SUM(C$15:F$15)))))</f>
        <v>929960416000</v>
      </c>
      <c r="D16" s="25">
        <f t="shared" si="4"/>
        <v>660240192000</v>
      </c>
      <c r="E16" s="25">
        <f t="shared" si="4"/>
        <v>415550074000</v>
      </c>
      <c r="F16" s="25">
        <f t="shared" si="4"/>
        <v>203271873000</v>
      </c>
      <c r="G16" s="25">
        <f t="shared" si="4"/>
        <v>824595836000</v>
      </c>
      <c r="H16" s="25">
        <f t="shared" si="4"/>
        <v>585823826000</v>
      </c>
      <c r="I16" s="25">
        <f t="shared" si="4"/>
        <v>360261682000</v>
      </c>
      <c r="J16" s="25">
        <f t="shared" si="4"/>
        <v>175637819000</v>
      </c>
      <c r="K16" s="25">
        <f t="shared" si="4"/>
        <v>735204940000</v>
      </c>
      <c r="L16" s="25">
        <f t="shared" si="4"/>
        <v>548162124000</v>
      </c>
      <c r="M16" s="25">
        <f t="shared" si="4"/>
        <v>366960224000</v>
      </c>
      <c r="N16" s="25">
        <f t="shared" si="4"/>
        <v>191151747000</v>
      </c>
      <c r="O16" s="25">
        <f t="shared" si="4"/>
        <v>726573259000</v>
      </c>
      <c r="P16" s="25">
        <f t="shared" si="4"/>
        <v>508339990000</v>
      </c>
      <c r="Q16" s="25">
        <f t="shared" si="4"/>
        <v>302336582000</v>
      </c>
      <c r="R16" s="25">
        <f t="shared" si="4"/>
        <v>150046126000</v>
      </c>
      <c r="S16" s="25">
        <f t="shared" si="4"/>
        <v>516836950000</v>
      </c>
      <c r="T16" s="25">
        <f t="shared" si="4"/>
        <v>347772241000</v>
      </c>
      <c r="U16" s="25">
        <f t="shared" si="4"/>
        <v>233284768000</v>
      </c>
      <c r="V16" s="25">
        <f t="shared" si="4"/>
        <v>119923887000</v>
      </c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</row>
    <row r="17">
      <c r="A17" s="23" t="s">
        <v>52</v>
      </c>
      <c r="B17" s="17"/>
      <c r="C17" s="26">
        <f t="shared" ref="C17:V17" si="5">(C$16-G$16)/ABS(G$16)</f>
        <v>0.12777724</v>
      </c>
      <c r="D17" s="26">
        <f t="shared" si="5"/>
        <v>0.1270285753</v>
      </c>
      <c r="E17" s="26">
        <f t="shared" si="5"/>
        <v>0.1534673121</v>
      </c>
      <c r="F17" s="26">
        <f t="shared" si="5"/>
        <v>0.1573354427</v>
      </c>
      <c r="G17" s="26">
        <f t="shared" si="5"/>
        <v>0.1215863647</v>
      </c>
      <c r="H17" s="26">
        <f t="shared" si="5"/>
        <v>0.06870540731</v>
      </c>
      <c r="I17" s="26">
        <f t="shared" si="5"/>
        <v>-0.01825413645</v>
      </c>
      <c r="J17" s="26">
        <f t="shared" si="5"/>
        <v>-0.08116027315</v>
      </c>
      <c r="K17" s="26">
        <f t="shared" si="5"/>
        <v>0.01187998718</v>
      </c>
      <c r="L17" s="26">
        <f t="shared" si="5"/>
        <v>0.07833759843</v>
      </c>
      <c r="M17" s="26">
        <f t="shared" si="5"/>
        <v>0.213747346</v>
      </c>
      <c r="N17" s="26">
        <f t="shared" si="5"/>
        <v>0.2739532309</v>
      </c>
      <c r="O17" s="26">
        <f t="shared" si="5"/>
        <v>0.4058074969</v>
      </c>
      <c r="P17" s="26">
        <f t="shared" si="5"/>
        <v>0.4617037534</v>
      </c>
      <c r="Q17" s="26">
        <f t="shared" si="5"/>
        <v>0.2959979539</v>
      </c>
      <c r="R17" s="26">
        <f t="shared" si="5"/>
        <v>0.2511779742</v>
      </c>
      <c r="S17" s="26" t="str">
        <f t="shared" si="5"/>
        <v>#DIV/0!</v>
      </c>
      <c r="T17" s="26" t="str">
        <f t="shared" si="5"/>
        <v>#DIV/0!</v>
      </c>
      <c r="U17" s="26" t="str">
        <f t="shared" si="5"/>
        <v>#DIV/0!</v>
      </c>
      <c r="V17" s="26" t="str">
        <f t="shared" si="5"/>
        <v>#DIV/0!</v>
      </c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>
      <c r="A19" s="23" t="s">
        <v>53</v>
      </c>
      <c r="B19" s="14"/>
      <c r="C19" s="24">
        <f t="shared" ref="C19:V19" si="6">IF(C$10="Quarterly",C$13,IF(LEFT(C$2,2)="1Q",C$20,C$20-D$20))</f>
        <v>66215970000</v>
      </c>
      <c r="D19" s="24">
        <f t="shared" si="6"/>
        <v>76450065000</v>
      </c>
      <c r="E19" s="24">
        <f t="shared" si="6"/>
        <v>62675757000</v>
      </c>
      <c r="F19" s="24">
        <f t="shared" si="6"/>
        <v>51170928000</v>
      </c>
      <c r="G19" s="24">
        <f t="shared" si="6"/>
        <v>64191999000</v>
      </c>
      <c r="H19" s="24">
        <f t="shared" si="6"/>
        <v>67336572000</v>
      </c>
      <c r="I19" s="24">
        <f t="shared" si="6"/>
        <v>42299859000</v>
      </c>
      <c r="J19" s="24">
        <f t="shared" si="6"/>
        <v>38387797000</v>
      </c>
      <c r="K19" s="24">
        <f t="shared" si="6"/>
        <v>48911907000</v>
      </c>
      <c r="L19" s="24">
        <f t="shared" si="6"/>
        <v>63025448000</v>
      </c>
      <c r="M19" s="24">
        <f t="shared" si="6"/>
        <v>36583493000</v>
      </c>
      <c r="N19" s="24">
        <f t="shared" si="6"/>
        <v>42333996000</v>
      </c>
      <c r="O19" s="24">
        <f t="shared" si="6"/>
        <v>52829242000</v>
      </c>
      <c r="P19" s="24">
        <f t="shared" si="6"/>
        <v>63479716000</v>
      </c>
      <c r="Q19" s="24">
        <f t="shared" si="6"/>
        <v>10151585000</v>
      </c>
      <c r="R19" s="24">
        <f t="shared" si="6"/>
        <v>35264224000</v>
      </c>
      <c r="S19" s="24">
        <f t="shared" si="6"/>
        <v>43459819000</v>
      </c>
      <c r="T19" s="24">
        <f t="shared" si="6"/>
        <v>1763922000</v>
      </c>
      <c r="U19" s="24">
        <f t="shared" si="6"/>
        <v>-3058854000</v>
      </c>
      <c r="V19" s="24">
        <f t="shared" si="6"/>
        <v>17891287000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>
      <c r="A20" s="23" t="s">
        <v>54</v>
      </c>
      <c r="B20" s="14"/>
      <c r="C20" s="25">
        <f t="shared" ref="C20:V20" si="7">IF(C$10="YTD",C$13,IF(LEFT(C$2,2)="1Q",C$19,IF(LEFT(C$2,2)="1H",SUM(C$19:D$19),IF(LEFT(C$2,2)="9M",SUM(C$19:E$19),SUM(C$19:F$19)))))</f>
        <v>256512720000</v>
      </c>
      <c r="D20" s="25">
        <f t="shared" si="7"/>
        <v>190296750000</v>
      </c>
      <c r="E20" s="25">
        <f t="shared" si="7"/>
        <v>113846685000</v>
      </c>
      <c r="F20" s="25">
        <f t="shared" si="7"/>
        <v>51170928000</v>
      </c>
      <c r="G20" s="25">
        <f t="shared" si="7"/>
        <v>212216227000</v>
      </c>
      <c r="H20" s="25">
        <f t="shared" si="7"/>
        <v>148024228000</v>
      </c>
      <c r="I20" s="25">
        <f t="shared" si="7"/>
        <v>80687656000</v>
      </c>
      <c r="J20" s="25">
        <f t="shared" si="7"/>
        <v>38387797000</v>
      </c>
      <c r="K20" s="25">
        <f t="shared" si="7"/>
        <v>190854844000</v>
      </c>
      <c r="L20" s="25">
        <f t="shared" si="7"/>
        <v>141942937000</v>
      </c>
      <c r="M20" s="25">
        <f t="shared" si="7"/>
        <v>78917489000</v>
      </c>
      <c r="N20" s="25">
        <f t="shared" si="7"/>
        <v>42333996000</v>
      </c>
      <c r="O20" s="25">
        <f t="shared" si="7"/>
        <v>161724767000</v>
      </c>
      <c r="P20" s="25">
        <f t="shared" si="7"/>
        <v>108895525000</v>
      </c>
      <c r="Q20" s="25">
        <f t="shared" si="7"/>
        <v>45415809000</v>
      </c>
      <c r="R20" s="25">
        <f t="shared" si="7"/>
        <v>35264224000</v>
      </c>
      <c r="S20" s="25">
        <f t="shared" si="7"/>
        <v>60056174000</v>
      </c>
      <c r="T20" s="25">
        <f t="shared" si="7"/>
        <v>16596355000</v>
      </c>
      <c r="U20" s="25">
        <f t="shared" si="7"/>
        <v>14832433000</v>
      </c>
      <c r="V20" s="25">
        <f t="shared" si="7"/>
        <v>17891287000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>
      <c r="A21" s="23" t="s">
        <v>55</v>
      </c>
      <c r="B21" s="14"/>
      <c r="C21" s="26">
        <f t="shared" ref="C21:V21" si="8">(C$20-G$20)/ABS(G$20)</f>
        <v>0.208732827</v>
      </c>
      <c r="D21" s="26">
        <f t="shared" si="8"/>
        <v>0.2855783987</v>
      </c>
      <c r="E21" s="26">
        <f t="shared" si="8"/>
        <v>0.4109554131</v>
      </c>
      <c r="F21" s="26">
        <f t="shared" si="8"/>
        <v>0.3329998593</v>
      </c>
      <c r="G21" s="26">
        <f t="shared" si="8"/>
        <v>0.111924762</v>
      </c>
      <c r="H21" s="26">
        <f t="shared" si="8"/>
        <v>0.04284320959</v>
      </c>
      <c r="I21" s="26">
        <f t="shared" si="8"/>
        <v>0.0224306047</v>
      </c>
      <c r="J21" s="26">
        <f t="shared" si="8"/>
        <v>-0.09321584005</v>
      </c>
      <c r="K21" s="26">
        <f t="shared" si="8"/>
        <v>0.1801213107</v>
      </c>
      <c r="L21" s="26">
        <f t="shared" si="8"/>
        <v>0.3034781457</v>
      </c>
      <c r="M21" s="26">
        <f t="shared" si="8"/>
        <v>0.7376656001</v>
      </c>
      <c r="N21" s="26">
        <f t="shared" si="8"/>
        <v>0.2004800106</v>
      </c>
      <c r="O21" s="26">
        <f t="shared" si="8"/>
        <v>1.692891608</v>
      </c>
      <c r="P21" s="26">
        <f t="shared" si="8"/>
        <v>5.561412129</v>
      </c>
      <c r="Q21" s="26">
        <f t="shared" si="8"/>
        <v>2.061925781</v>
      </c>
      <c r="R21" s="26">
        <f t="shared" si="8"/>
        <v>0.9710277969</v>
      </c>
      <c r="S21" s="26" t="str">
        <f t="shared" si="8"/>
        <v>#DIV/0!</v>
      </c>
      <c r="T21" s="26" t="str">
        <f t="shared" si="8"/>
        <v>#DIV/0!</v>
      </c>
      <c r="U21" s="26" t="str">
        <f t="shared" si="8"/>
        <v>#DIV/0!</v>
      </c>
      <c r="V21" s="26" t="str">
        <f t="shared" si="8"/>
        <v>#DIV/0!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>
      <c r="A22" s="23"/>
      <c r="B22" s="17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</row>
    <row r="23">
      <c r="A23" s="4" t="s">
        <v>56</v>
      </c>
      <c r="B23" s="14"/>
      <c r="C23" s="24">
        <v>1.818111599E9</v>
      </c>
      <c r="D23" s="24">
        <v>1.818482689E9</v>
      </c>
      <c r="E23" s="24">
        <v>1.818310486E9</v>
      </c>
      <c r="F23" s="24">
        <v>1.818440938E9</v>
      </c>
      <c r="G23" s="24">
        <v>1.817845043E9</v>
      </c>
      <c r="H23" s="24">
        <v>1.818647717E9</v>
      </c>
      <c r="I23" s="24">
        <v>1.81832562E9</v>
      </c>
      <c r="J23" s="24">
        <v>1.81846504E9</v>
      </c>
      <c r="K23" s="24">
        <v>1.818284091E9</v>
      </c>
      <c r="L23" s="24">
        <v>1.818396817E9</v>
      </c>
      <c r="M23" s="24">
        <v>1.818280026E9</v>
      </c>
      <c r="N23" s="24">
        <v>1.818470618E9</v>
      </c>
      <c r="O23" s="24">
        <v>1.818277789E9</v>
      </c>
      <c r="P23" s="24">
        <v>1.818384807E9</v>
      </c>
      <c r="Q23" s="24">
        <v>1.818088723E9</v>
      </c>
      <c r="R23" s="24">
        <v>1.818680969E9</v>
      </c>
      <c r="S23" s="24">
        <v>1.819576943E9</v>
      </c>
      <c r="T23" s="24">
        <v>1.816577843E9</v>
      </c>
      <c r="U23" s="24">
        <v>1.818549461E9</v>
      </c>
      <c r="V23" s="24">
        <v>1.818549461E9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>
      <c r="A24" s="14"/>
      <c r="B24" s="14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>
      <c r="A25" s="21" t="s">
        <v>57</v>
      </c>
      <c r="B25" s="11" t="str">
        <f t="shared" ref="B25:V25" si="9">B$2</f>
        <v>Current</v>
      </c>
      <c r="C25" s="11" t="str">
        <f t="shared" si="9"/>
        <v>FY2025</v>
      </c>
      <c r="D25" s="11" t="str">
        <f t="shared" si="9"/>
        <v>9M2025</v>
      </c>
      <c r="E25" s="11" t="str">
        <f t="shared" si="9"/>
        <v>1H2025</v>
      </c>
      <c r="F25" s="11" t="str">
        <f t="shared" si="9"/>
        <v>1Q2025</v>
      </c>
      <c r="G25" s="11" t="str">
        <f t="shared" si="9"/>
        <v>FY2024</v>
      </c>
      <c r="H25" s="11" t="str">
        <f t="shared" si="9"/>
        <v>9M2024</v>
      </c>
      <c r="I25" s="11" t="str">
        <f t="shared" si="9"/>
        <v>1H2024</v>
      </c>
      <c r="J25" s="11" t="str">
        <f t="shared" si="9"/>
        <v>1Q2024</v>
      </c>
      <c r="K25" s="11" t="str">
        <f t="shared" si="9"/>
        <v>FY2023</v>
      </c>
      <c r="L25" s="11" t="str">
        <f t="shared" si="9"/>
        <v>9M2023</v>
      </c>
      <c r="M25" s="11" t="str">
        <f t="shared" si="9"/>
        <v>1H2023</v>
      </c>
      <c r="N25" s="11" t="str">
        <f t="shared" si="9"/>
        <v>1Q2023</v>
      </c>
      <c r="O25" s="11" t="str">
        <f t="shared" si="9"/>
        <v>FY2022</v>
      </c>
      <c r="P25" s="11" t="str">
        <f t="shared" si="9"/>
        <v>9M2022</v>
      </c>
      <c r="Q25" s="11" t="str">
        <f t="shared" si="9"/>
        <v>1H2022</v>
      </c>
      <c r="R25" s="11" t="str">
        <f t="shared" si="9"/>
        <v>1Q2022</v>
      </c>
      <c r="S25" s="11" t="str">
        <f t="shared" si="9"/>
        <v>FY2021</v>
      </c>
      <c r="T25" s="11" t="str">
        <f t="shared" si="9"/>
        <v>9M2021</v>
      </c>
      <c r="U25" s="11" t="str">
        <f t="shared" si="9"/>
        <v>1H2021</v>
      </c>
      <c r="V25" s="11" t="str">
        <f t="shared" si="9"/>
        <v>1Q2021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>
      <c r="A26" s="4" t="s">
        <v>58</v>
      </c>
      <c r="B26" s="14"/>
      <c r="C26" s="24">
        <v>1.360801231E12</v>
      </c>
      <c r="D26" s="24">
        <v>1.34215948E12</v>
      </c>
      <c r="E26" s="24">
        <v>1.265709415E12</v>
      </c>
      <c r="F26" s="24">
        <v>1.328399319E12</v>
      </c>
      <c r="G26" s="24">
        <v>1.277228391E12</v>
      </c>
      <c r="H26" s="24">
        <v>1.257666157E12</v>
      </c>
      <c r="I26" s="24">
        <v>1.190106935E12</v>
      </c>
      <c r="J26" s="24">
        <v>1.261254651E12</v>
      </c>
      <c r="K26" s="24">
        <v>1.222866854E12</v>
      </c>
      <c r="L26" s="24">
        <v>1.213408389E12</v>
      </c>
      <c r="M26" s="24">
        <v>1.240883954E12</v>
      </c>
      <c r="N26" s="24">
        <v>1.204304183E12</v>
      </c>
      <c r="O26" s="24">
        <v>1.161970187E12</v>
      </c>
      <c r="P26" s="24">
        <v>1.131848849E12</v>
      </c>
      <c r="Q26" s="24">
        <v>1.110408454E12</v>
      </c>
      <c r="R26" s="24">
        <v>1.100256869E12</v>
      </c>
      <c r="S26" s="24">
        <v>1.064992645E12</v>
      </c>
      <c r="T26" s="24">
        <v>1.021532826E12</v>
      </c>
      <c r="U26" s="24">
        <v>1.019768905E12</v>
      </c>
      <c r="V26" s="24">
        <v>1.022827759E12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>
      <c r="A27" s="14"/>
      <c r="B27" s="14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>
      <c r="A28" s="28" t="s">
        <v>59</v>
      </c>
      <c r="B28" s="29" t="str">
        <f t="shared" ref="B28:V28" si="10">B$2</f>
        <v>Current</v>
      </c>
      <c r="C28" s="11" t="str">
        <f t="shared" si="10"/>
        <v>FY2025</v>
      </c>
      <c r="D28" s="11" t="str">
        <f t="shared" si="10"/>
        <v>9M2025</v>
      </c>
      <c r="E28" s="11" t="str">
        <f t="shared" si="10"/>
        <v>1H2025</v>
      </c>
      <c r="F28" s="11" t="str">
        <f t="shared" si="10"/>
        <v>1Q2025</v>
      </c>
      <c r="G28" s="11" t="str">
        <f t="shared" si="10"/>
        <v>FY2024</v>
      </c>
      <c r="H28" s="11" t="str">
        <f t="shared" si="10"/>
        <v>9M2024</v>
      </c>
      <c r="I28" s="11" t="str">
        <f t="shared" si="10"/>
        <v>1H2024</v>
      </c>
      <c r="J28" s="11" t="str">
        <f t="shared" si="10"/>
        <v>1Q2024</v>
      </c>
      <c r="K28" s="11" t="str">
        <f t="shared" si="10"/>
        <v>FY2023</v>
      </c>
      <c r="L28" s="11" t="str">
        <f t="shared" si="10"/>
        <v>9M2023</v>
      </c>
      <c r="M28" s="11" t="str">
        <f t="shared" si="10"/>
        <v>1H2023</v>
      </c>
      <c r="N28" s="11" t="str">
        <f t="shared" si="10"/>
        <v>1Q2023</v>
      </c>
      <c r="O28" s="11" t="str">
        <f t="shared" si="10"/>
        <v>FY2022</v>
      </c>
      <c r="P28" s="11" t="str">
        <f t="shared" si="10"/>
        <v>9M2022</v>
      </c>
      <c r="Q28" s="11" t="str">
        <f t="shared" si="10"/>
        <v>1H2022</v>
      </c>
      <c r="R28" s="11" t="str">
        <f t="shared" si="10"/>
        <v>1Q2022</v>
      </c>
      <c r="S28" s="11" t="str">
        <f t="shared" si="10"/>
        <v>FY2021</v>
      </c>
      <c r="T28" s="11" t="str">
        <f t="shared" si="10"/>
        <v>9M2021</v>
      </c>
      <c r="U28" s="11" t="str">
        <f t="shared" si="10"/>
        <v>1H2021</v>
      </c>
      <c r="V28" s="11" t="str">
        <f t="shared" si="10"/>
        <v>1Q2021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>
      <c r="A29" s="30" t="s">
        <v>60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>
      <c r="A30" s="23" t="s">
        <v>61</v>
      </c>
      <c r="B30" s="14"/>
      <c r="C30" s="6">
        <f t="shared" ref="C30:V30" si="11">C$19*C$1/C$23</f>
        <v>36.42019007</v>
      </c>
      <c r="D30" s="6">
        <f t="shared" si="11"/>
        <v>42.04057892</v>
      </c>
      <c r="E30" s="6">
        <f t="shared" si="11"/>
        <v>34.46922706</v>
      </c>
      <c r="F30" s="6">
        <f t="shared" si="11"/>
        <v>28.14</v>
      </c>
      <c r="G30" s="6">
        <f t="shared" si="11"/>
        <v>35.31214019</v>
      </c>
      <c r="H30" s="6">
        <f t="shared" si="11"/>
        <v>37.02562699</v>
      </c>
      <c r="I30" s="6">
        <f t="shared" si="11"/>
        <v>23.26308255</v>
      </c>
      <c r="J30" s="6">
        <f t="shared" si="11"/>
        <v>21.11</v>
      </c>
      <c r="K30" s="6">
        <f t="shared" si="11"/>
        <v>26.90003572</v>
      </c>
      <c r="L30" s="6">
        <f t="shared" si="11"/>
        <v>34.65989789</v>
      </c>
      <c r="M30" s="6">
        <f t="shared" si="11"/>
        <v>20.11983439</v>
      </c>
      <c r="N30" s="6">
        <f t="shared" si="11"/>
        <v>23.28000001</v>
      </c>
      <c r="O30" s="6">
        <f t="shared" si="11"/>
        <v>29.05454949</v>
      </c>
      <c r="P30" s="6">
        <f t="shared" si="11"/>
        <v>34.90994632</v>
      </c>
      <c r="Q30" s="6">
        <f t="shared" si="11"/>
        <v>5.583657646</v>
      </c>
      <c r="R30" s="6">
        <f t="shared" si="11"/>
        <v>19.39000001</v>
      </c>
      <c r="S30" s="6">
        <f t="shared" si="11"/>
        <v>23.88457337</v>
      </c>
      <c r="T30" s="6">
        <f t="shared" si="11"/>
        <v>0.971013715</v>
      </c>
      <c r="U30" s="6">
        <f t="shared" si="11"/>
        <v>-1.682029588</v>
      </c>
      <c r="V30" s="6">
        <f t="shared" si="11"/>
        <v>9.838218527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>
      <c r="A31" s="23" t="s">
        <v>62</v>
      </c>
      <c r="B31" s="14"/>
      <c r="C31" s="6">
        <f t="shared" ref="C31:V31" si="12">IF(LEFT(C$2,2)="1Q",C$30,IF(LEFT(C$2,2)="1H",SUM(C$30:D$30),IF(LEFT(C$2,2)="9M",SUM(C$30:E$30),SUM(C$30:F$30))))</f>
        <v>141.069996</v>
      </c>
      <c r="D31" s="6">
        <f t="shared" si="12"/>
        <v>104.649806</v>
      </c>
      <c r="E31" s="6">
        <f t="shared" si="12"/>
        <v>62.60922706</v>
      </c>
      <c r="F31" s="6">
        <f t="shared" si="12"/>
        <v>28.14</v>
      </c>
      <c r="G31" s="6">
        <f t="shared" si="12"/>
        <v>116.7108497</v>
      </c>
      <c r="H31" s="6">
        <f t="shared" si="12"/>
        <v>81.39870954</v>
      </c>
      <c r="I31" s="6">
        <f t="shared" si="12"/>
        <v>44.37308255</v>
      </c>
      <c r="J31" s="6">
        <f t="shared" si="12"/>
        <v>21.11</v>
      </c>
      <c r="K31" s="6">
        <f t="shared" si="12"/>
        <v>104.959768</v>
      </c>
      <c r="L31" s="6">
        <f t="shared" si="12"/>
        <v>78.05973229</v>
      </c>
      <c r="M31" s="6">
        <f t="shared" si="12"/>
        <v>43.3998344</v>
      </c>
      <c r="N31" s="6">
        <f t="shared" si="12"/>
        <v>23.28000001</v>
      </c>
      <c r="O31" s="6">
        <f t="shared" si="12"/>
        <v>88.93815346</v>
      </c>
      <c r="P31" s="6">
        <f t="shared" si="12"/>
        <v>59.88360397</v>
      </c>
      <c r="Q31" s="6">
        <f t="shared" si="12"/>
        <v>24.97365765</v>
      </c>
      <c r="R31" s="6">
        <f t="shared" si="12"/>
        <v>19.39000001</v>
      </c>
      <c r="S31" s="6">
        <f t="shared" si="12"/>
        <v>33.01177603</v>
      </c>
      <c r="T31" s="6">
        <f t="shared" si="12"/>
        <v>9.127202655</v>
      </c>
      <c r="U31" s="6">
        <f t="shared" si="12"/>
        <v>8.15618894</v>
      </c>
      <c r="V31" s="6">
        <f t="shared" si="12"/>
        <v>9.838218527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>
      <c r="A32" s="14" t="s">
        <v>63</v>
      </c>
      <c r="B32" s="14"/>
      <c r="C32" s="6">
        <f t="shared" ref="C32:V32" si="13">C$26*C$1/C$23</f>
        <v>748.4695834</v>
      </c>
      <c r="D32" s="6">
        <f t="shared" si="13"/>
        <v>738.0655797</v>
      </c>
      <c r="E32" s="6">
        <f t="shared" si="13"/>
        <v>696.0909178</v>
      </c>
      <c r="F32" s="6">
        <f t="shared" si="13"/>
        <v>730.5155154</v>
      </c>
      <c r="G32" s="6">
        <f t="shared" si="13"/>
        <v>702.6057561</v>
      </c>
      <c r="H32" s="6">
        <f t="shared" si="13"/>
        <v>691.5391833</v>
      </c>
      <c r="I32" s="6">
        <f t="shared" si="13"/>
        <v>654.5070486</v>
      </c>
      <c r="J32" s="6">
        <f t="shared" si="13"/>
        <v>693.5820174</v>
      </c>
      <c r="K32" s="6">
        <f t="shared" si="13"/>
        <v>672.5389394</v>
      </c>
      <c r="L32" s="6">
        <f t="shared" si="13"/>
        <v>667.2957067</v>
      </c>
      <c r="M32" s="6">
        <f t="shared" si="13"/>
        <v>682.4493127</v>
      </c>
      <c r="N32" s="6">
        <f t="shared" si="13"/>
        <v>662.262107</v>
      </c>
      <c r="O32" s="6">
        <f t="shared" si="13"/>
        <v>639.0498713</v>
      </c>
      <c r="P32" s="6">
        <f t="shared" si="13"/>
        <v>622.4473745</v>
      </c>
      <c r="Q32" s="6">
        <f t="shared" si="13"/>
        <v>610.7559218</v>
      </c>
      <c r="R32" s="6">
        <f t="shared" si="13"/>
        <v>604.9751923</v>
      </c>
      <c r="S32" s="6">
        <f t="shared" si="13"/>
        <v>585.2968456</v>
      </c>
      <c r="T32" s="6">
        <f t="shared" si="13"/>
        <v>562.3391422</v>
      </c>
      <c r="U32" s="6">
        <f t="shared" si="13"/>
        <v>560.7595102</v>
      </c>
      <c r="V32" s="6">
        <f t="shared" si="13"/>
        <v>562.4415398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>
      <c r="A33" s="14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>
      <c r="A34" s="30" t="s">
        <v>64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>
      <c r="A35" s="14" t="s">
        <v>65</v>
      </c>
      <c r="B35" s="6">
        <f>$B$3/SUM(OFFSET($B$30,0,1,1,4))</f>
        <v>9.463387236</v>
      </c>
      <c r="C35" s="6">
        <f t="shared" ref="C35:V35" si="14">C$3/SUM(C$30:F$30)</f>
        <v>9.817821215</v>
      </c>
      <c r="D35" s="6">
        <f t="shared" si="14"/>
        <v>7.60921114</v>
      </c>
      <c r="E35" s="6">
        <f t="shared" si="14"/>
        <v>7.484420129</v>
      </c>
      <c r="F35" s="6">
        <f t="shared" si="14"/>
        <v>6.263089365</v>
      </c>
      <c r="G35" s="6">
        <f t="shared" si="14"/>
        <v>6.040569507</v>
      </c>
      <c r="H35" s="6">
        <f t="shared" si="14"/>
        <v>6.325096365</v>
      </c>
      <c r="I35" s="6">
        <f t="shared" si="14"/>
        <v>6.324751473</v>
      </c>
      <c r="J35" s="6">
        <f t="shared" si="14"/>
        <v>6.712730395</v>
      </c>
      <c r="K35" s="6">
        <f t="shared" si="14"/>
        <v>6.812133959</v>
      </c>
      <c r="L35" s="6">
        <f t="shared" si="14"/>
        <v>6.628434493</v>
      </c>
      <c r="M35" s="6">
        <f t="shared" si="14"/>
        <v>7.12527148</v>
      </c>
      <c r="N35" s="6">
        <f t="shared" si="14"/>
        <v>6.73287119</v>
      </c>
      <c r="O35" s="6">
        <f t="shared" si="14"/>
        <v>6.408947992</v>
      </c>
      <c r="P35" s="6">
        <f t="shared" si="14"/>
        <v>6.028542294</v>
      </c>
      <c r="Q35" s="6">
        <f t="shared" si="14"/>
        <v>12.34214974</v>
      </c>
      <c r="R35" s="6">
        <f t="shared" si="14"/>
        <v>12.92185222</v>
      </c>
      <c r="S35" s="6">
        <f t="shared" si="14"/>
        <v>15.60049358</v>
      </c>
      <c r="T35" s="6">
        <f t="shared" si="14"/>
        <v>65.18974351</v>
      </c>
      <c r="U35" s="6">
        <f t="shared" si="14"/>
        <v>60.07707811</v>
      </c>
      <c r="V35" s="6">
        <f t="shared" si="14"/>
        <v>60.47842893</v>
      </c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>
      <c r="A36" s="23" t="s">
        <v>66</v>
      </c>
      <c r="B36" s="6">
        <f>$B$3/OFFSET($B$32,0,1)</f>
        <v>1.783639616</v>
      </c>
      <c r="C36" s="6">
        <f t="shared" ref="C36:V36" si="15">C$3/C$32</f>
        <v>1.850442598</v>
      </c>
      <c r="D36" s="6">
        <f t="shared" si="15"/>
        <v>1.442961207</v>
      </c>
      <c r="E36" s="6">
        <f t="shared" si="15"/>
        <v>1.450959888</v>
      </c>
      <c r="F36" s="6">
        <f t="shared" si="15"/>
        <v>1.060894647</v>
      </c>
      <c r="G36" s="6">
        <f t="shared" si="15"/>
        <v>1.003407663</v>
      </c>
      <c r="H36" s="6">
        <f t="shared" si="15"/>
        <v>0.9905440162</v>
      </c>
      <c r="I36" s="6">
        <f t="shared" si="15"/>
        <v>1.023671176</v>
      </c>
      <c r="J36" s="6">
        <f t="shared" si="15"/>
        <v>0.9948354812</v>
      </c>
      <c r="K36" s="6">
        <f t="shared" si="15"/>
        <v>1.063135468</v>
      </c>
      <c r="L36" s="6">
        <f t="shared" si="15"/>
        <v>1.063996056</v>
      </c>
      <c r="M36" s="6">
        <f t="shared" si="15"/>
        <v>1.120962372</v>
      </c>
      <c r="N36" s="6">
        <f t="shared" si="15"/>
        <v>0.9437351064</v>
      </c>
      <c r="O36" s="6">
        <f t="shared" si="15"/>
        <v>0.8919491664</v>
      </c>
      <c r="P36" s="6">
        <f t="shared" si="15"/>
        <v>0.8113135675</v>
      </c>
      <c r="Q36" s="6">
        <f t="shared" si="15"/>
        <v>1.006948894</v>
      </c>
      <c r="R36" s="6">
        <f t="shared" si="15"/>
        <v>0.9091281874</v>
      </c>
      <c r="S36" s="6">
        <f t="shared" si="15"/>
        <v>0.8798953965</v>
      </c>
      <c r="T36" s="6">
        <f t="shared" si="15"/>
        <v>1.058080356</v>
      </c>
      <c r="U36" s="6">
        <f t="shared" si="15"/>
        <v>0.8738148727</v>
      </c>
      <c r="V36" s="6">
        <f t="shared" si="15"/>
        <v>1.057887723</v>
      </c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>
      <c r="A37" s="23" t="s">
        <v>67</v>
      </c>
      <c r="B37" s="6">
        <f>B$35/OFFSET($B43,0,1)/100</f>
        <v>0.2807569039</v>
      </c>
      <c r="C37" s="6">
        <f t="shared" ref="C37:V37" si="16">C$35/C$43/100</f>
        <v>0.2912721437</v>
      </c>
      <c r="D37" s="6">
        <f t="shared" si="16"/>
        <v>0.1047563525</v>
      </c>
      <c r="E37" s="6">
        <f t="shared" si="16"/>
        <v>0.09941959156</v>
      </c>
      <c r="F37" s="6">
        <f t="shared" si="16"/>
        <v>0.09499912276</v>
      </c>
      <c r="G37" s="6" t="str">
        <f t="shared" si="16"/>
        <v>#DIV/0!</v>
      </c>
      <c r="H37" s="6" t="str">
        <f t="shared" si="16"/>
        <v>#DIV/0!</v>
      </c>
      <c r="I37" s="6" t="str">
        <f t="shared" si="16"/>
        <v>#DIV/0!</v>
      </c>
      <c r="J37" s="6" t="str">
        <f t="shared" si="16"/>
        <v>#DIV/0!</v>
      </c>
      <c r="K37" s="6" t="str">
        <f t="shared" si="16"/>
        <v>#DIV/0!</v>
      </c>
      <c r="L37" s="6" t="str">
        <f t="shared" si="16"/>
        <v>#DIV/0!</v>
      </c>
      <c r="M37" s="6" t="str">
        <f t="shared" si="16"/>
        <v>#DIV/0!</v>
      </c>
      <c r="N37" s="6" t="str">
        <f t="shared" si="16"/>
        <v>#DIV/0!</v>
      </c>
      <c r="O37" s="6" t="str">
        <f t="shared" si="16"/>
        <v>#DIV/0!</v>
      </c>
      <c r="P37" s="6" t="str">
        <f t="shared" si="16"/>
        <v>#DIV/0!</v>
      </c>
      <c r="Q37" s="6" t="str">
        <f t="shared" si="16"/>
        <v>#DIV/0!</v>
      </c>
      <c r="R37" s="6" t="str">
        <f t="shared" si="16"/>
        <v>#DIV/0!</v>
      </c>
      <c r="S37" s="6" t="str">
        <f t="shared" si="16"/>
        <v>#DIV/0!</v>
      </c>
      <c r="T37" s="6" t="str">
        <f t="shared" si="16"/>
        <v>#DIV/0!</v>
      </c>
      <c r="U37" s="6" t="str">
        <f t="shared" si="16"/>
        <v>#DIV/0!</v>
      </c>
      <c r="V37" s="6" t="str">
        <f t="shared" si="16"/>
        <v>#DIV/0!</v>
      </c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>
      <c r="A39" s="30" t="s">
        <v>68</v>
      </c>
      <c r="B39" s="31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>
      <c r="A40" s="14" t="s">
        <v>69</v>
      </c>
      <c r="B40" s="31"/>
      <c r="C40" s="32">
        <f t="shared" ref="C40:V40" si="17">C$20/ABS(C$16)</f>
        <v>0.2758318694</v>
      </c>
      <c r="D40" s="32">
        <f t="shared" si="17"/>
        <v>0.2882235167</v>
      </c>
      <c r="E40" s="32">
        <f t="shared" si="17"/>
        <v>0.2739662248</v>
      </c>
      <c r="F40" s="32">
        <f t="shared" si="17"/>
        <v>0.2517363925</v>
      </c>
      <c r="G40" s="32">
        <f t="shared" si="17"/>
        <v>0.2573578688</v>
      </c>
      <c r="H40" s="32">
        <f t="shared" si="17"/>
        <v>0.252677036</v>
      </c>
      <c r="I40" s="32">
        <f t="shared" si="17"/>
        <v>0.2239695755</v>
      </c>
      <c r="J40" s="32">
        <f t="shared" si="17"/>
        <v>0.2185622505</v>
      </c>
      <c r="K40" s="32">
        <f t="shared" si="17"/>
        <v>0.2595940718</v>
      </c>
      <c r="L40" s="32">
        <f t="shared" si="17"/>
        <v>0.2589433505</v>
      </c>
      <c r="M40" s="32">
        <f t="shared" si="17"/>
        <v>0.2150573382</v>
      </c>
      <c r="N40" s="32">
        <f t="shared" si="17"/>
        <v>0.2214680047</v>
      </c>
      <c r="O40" s="32">
        <f t="shared" si="17"/>
        <v>0.2225856306</v>
      </c>
      <c r="P40" s="32">
        <f t="shared" si="17"/>
        <v>0.2142178997</v>
      </c>
      <c r="Q40" s="32">
        <f t="shared" si="17"/>
        <v>0.1502160562</v>
      </c>
      <c r="R40" s="32">
        <f t="shared" si="17"/>
        <v>0.2350225557</v>
      </c>
      <c r="S40" s="32">
        <f t="shared" si="17"/>
        <v>0.116199459</v>
      </c>
      <c r="T40" s="32">
        <f t="shared" si="17"/>
        <v>0.04772190832</v>
      </c>
      <c r="U40" s="32">
        <f t="shared" si="17"/>
        <v>0.06358080353</v>
      </c>
      <c r="V40" s="32">
        <f t="shared" si="17"/>
        <v>0.149188685</v>
      </c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</row>
    <row r="41">
      <c r="A41" s="14"/>
      <c r="B41" s="31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</row>
    <row r="42">
      <c r="A42" s="21" t="s">
        <v>70</v>
      </c>
      <c r="B42" s="29" t="str">
        <f t="shared" ref="B42:V42" si="18">B$2</f>
        <v>Current</v>
      </c>
      <c r="C42" s="11" t="str">
        <f t="shared" si="18"/>
        <v>FY2025</v>
      </c>
      <c r="D42" s="11" t="str">
        <f t="shared" si="18"/>
        <v>9M2025</v>
      </c>
      <c r="E42" s="11" t="str">
        <f t="shared" si="18"/>
        <v>1H2025</v>
      </c>
      <c r="F42" s="11" t="str">
        <f t="shared" si="18"/>
        <v>1Q2025</v>
      </c>
      <c r="G42" s="11" t="str">
        <f t="shared" si="18"/>
        <v>FY2024</v>
      </c>
      <c r="H42" s="11" t="str">
        <f t="shared" si="18"/>
        <v>9M2024</v>
      </c>
      <c r="I42" s="11" t="str">
        <f t="shared" si="18"/>
        <v>1H2024</v>
      </c>
      <c r="J42" s="11" t="str">
        <f t="shared" si="18"/>
        <v>1Q2024</v>
      </c>
      <c r="K42" s="11" t="str">
        <f t="shared" si="18"/>
        <v>FY2023</v>
      </c>
      <c r="L42" s="11" t="str">
        <f t="shared" si="18"/>
        <v>9M2023</v>
      </c>
      <c r="M42" s="11" t="str">
        <f t="shared" si="18"/>
        <v>1H2023</v>
      </c>
      <c r="N42" s="11" t="str">
        <f t="shared" si="18"/>
        <v>1Q2023</v>
      </c>
      <c r="O42" s="11" t="str">
        <f t="shared" si="18"/>
        <v>FY2022</v>
      </c>
      <c r="P42" s="11" t="str">
        <f t="shared" si="18"/>
        <v>9M2022</v>
      </c>
      <c r="Q42" s="11" t="str">
        <f t="shared" si="18"/>
        <v>1H2022</v>
      </c>
      <c r="R42" s="11" t="str">
        <f t="shared" si="18"/>
        <v>1Q2022</v>
      </c>
      <c r="S42" s="11" t="str">
        <f t="shared" si="18"/>
        <v>FY2021</v>
      </c>
      <c r="T42" s="11" t="str">
        <f t="shared" si="18"/>
        <v>9M2021</v>
      </c>
      <c r="U42" s="11" t="str">
        <f t="shared" si="18"/>
        <v>1H2021</v>
      </c>
      <c r="V42" s="11" t="str">
        <f t="shared" si="18"/>
        <v>1Q2021</v>
      </c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>
      <c r="A43" s="23" t="s">
        <v>71</v>
      </c>
      <c r="B43" s="17"/>
      <c r="C43" s="8">
        <f t="shared" ref="C43:V43" si="19">(SUM(C$30:F$30)/SUM(S$30:V$30))^(1/5)-1</f>
        <v>0.3370669467</v>
      </c>
      <c r="D43" s="8">
        <f t="shared" si="19"/>
        <v>0.7263722873</v>
      </c>
      <c r="E43" s="8">
        <f t="shared" si="19"/>
        <v>0.7528113937</v>
      </c>
      <c r="F43" s="8">
        <f t="shared" si="19"/>
        <v>0.6592786526</v>
      </c>
      <c r="G43" s="8" t="str">
        <f t="shared" si="19"/>
        <v>#DIV/0!</v>
      </c>
      <c r="H43" s="8" t="str">
        <f t="shared" si="19"/>
        <v>#DIV/0!</v>
      </c>
      <c r="I43" s="8" t="str">
        <f t="shared" si="19"/>
        <v>#DIV/0!</v>
      </c>
      <c r="J43" s="8" t="str">
        <f t="shared" si="19"/>
        <v>#DIV/0!</v>
      </c>
      <c r="K43" s="8" t="str">
        <f t="shared" si="19"/>
        <v>#DIV/0!</v>
      </c>
      <c r="L43" s="8" t="str">
        <f t="shared" si="19"/>
        <v>#DIV/0!</v>
      </c>
      <c r="M43" s="8" t="str">
        <f t="shared" si="19"/>
        <v>#DIV/0!</v>
      </c>
      <c r="N43" s="8" t="str">
        <f t="shared" si="19"/>
        <v>#DIV/0!</v>
      </c>
      <c r="O43" s="8" t="str">
        <f t="shared" si="19"/>
        <v>#DIV/0!</v>
      </c>
      <c r="P43" s="8" t="str">
        <f t="shared" si="19"/>
        <v>#DIV/0!</v>
      </c>
      <c r="Q43" s="8" t="str">
        <f t="shared" si="19"/>
        <v>#DIV/0!</v>
      </c>
      <c r="R43" s="8" t="str">
        <f t="shared" si="19"/>
        <v>#DIV/0!</v>
      </c>
      <c r="S43" s="8" t="str">
        <f t="shared" si="19"/>
        <v>#DIV/0!</v>
      </c>
      <c r="T43" s="8" t="str">
        <f t="shared" si="19"/>
        <v>#DIV/0!</v>
      </c>
      <c r="U43" s="8" t="str">
        <f t="shared" si="19"/>
        <v>#DIV/0!</v>
      </c>
      <c r="V43" s="8" t="str">
        <f t="shared" si="19"/>
        <v>#DIV/0!</v>
      </c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</row>
    <row r="44">
      <c r="A44" s="23"/>
      <c r="B44" s="1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</row>
    <row r="45">
      <c r="A45" s="23" t="s">
        <v>72</v>
      </c>
      <c r="B45" s="6">
        <f t="shared" ref="B45:B46" si="21">OFFSET($B45,0,1)</f>
        <v>33.70669467</v>
      </c>
      <c r="C45" s="6">
        <f t="shared" ref="C45:V45" si="20">C$43*100</f>
        <v>33.70669467</v>
      </c>
      <c r="D45" s="6">
        <f t="shared" si="20"/>
        <v>72.63722873</v>
      </c>
      <c r="E45" s="6">
        <f t="shared" si="20"/>
        <v>75.28113937</v>
      </c>
      <c r="F45" s="6">
        <f t="shared" si="20"/>
        <v>65.92786526</v>
      </c>
      <c r="G45" s="6" t="str">
        <f t="shared" si="20"/>
        <v>#DIV/0!</v>
      </c>
      <c r="H45" s="6" t="str">
        <f t="shared" si="20"/>
        <v>#DIV/0!</v>
      </c>
      <c r="I45" s="6" t="str">
        <f t="shared" si="20"/>
        <v>#DIV/0!</v>
      </c>
      <c r="J45" s="6" t="str">
        <f t="shared" si="20"/>
        <v>#DIV/0!</v>
      </c>
      <c r="K45" s="6" t="str">
        <f t="shared" si="20"/>
        <v>#DIV/0!</v>
      </c>
      <c r="L45" s="6" t="str">
        <f t="shared" si="20"/>
        <v>#DIV/0!</v>
      </c>
      <c r="M45" s="6" t="str">
        <f t="shared" si="20"/>
        <v>#DIV/0!</v>
      </c>
      <c r="N45" s="6" t="str">
        <f t="shared" si="20"/>
        <v>#DIV/0!</v>
      </c>
      <c r="O45" s="6" t="str">
        <f t="shared" si="20"/>
        <v>#DIV/0!</v>
      </c>
      <c r="P45" s="6" t="str">
        <f t="shared" si="20"/>
        <v>#DIV/0!</v>
      </c>
      <c r="Q45" s="6" t="str">
        <f t="shared" si="20"/>
        <v>#DIV/0!</v>
      </c>
      <c r="R45" s="6" t="str">
        <f t="shared" si="20"/>
        <v>#DIV/0!</v>
      </c>
      <c r="S45" s="6" t="str">
        <f t="shared" si="20"/>
        <v>#DIV/0!</v>
      </c>
      <c r="T45" s="6" t="str">
        <f t="shared" si="20"/>
        <v>#DIV/0!</v>
      </c>
      <c r="U45" s="6" t="str">
        <f t="shared" si="20"/>
        <v>#DIV/0!</v>
      </c>
      <c r="V45" s="6" t="str">
        <f t="shared" si="20"/>
        <v>#DIV/0!</v>
      </c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</row>
    <row r="46">
      <c r="A46" s="23" t="s">
        <v>73</v>
      </c>
      <c r="B46" s="33">
        <f t="shared" si="21"/>
        <v>4755.003284</v>
      </c>
      <c r="C46" s="34">
        <f t="shared" ref="C46:V46" si="22">C$45*SUM(C$30:F$30)</f>
        <v>4755.003284</v>
      </c>
      <c r="D46" s="34">
        <f t="shared" si="22"/>
        <v>10166.4479</v>
      </c>
      <c r="E46" s="34">
        <f t="shared" si="22"/>
        <v>10158.96348</v>
      </c>
      <c r="F46" s="34">
        <f t="shared" si="22"/>
        <v>8157.970068</v>
      </c>
      <c r="G46" s="34" t="str">
        <f t="shared" si="22"/>
        <v>#DIV/0!</v>
      </c>
      <c r="H46" s="34" t="str">
        <f t="shared" si="22"/>
        <v>#DIV/0!</v>
      </c>
      <c r="I46" s="34" t="str">
        <f t="shared" si="22"/>
        <v>#DIV/0!</v>
      </c>
      <c r="J46" s="34" t="str">
        <f t="shared" si="22"/>
        <v>#DIV/0!</v>
      </c>
      <c r="K46" s="34" t="str">
        <f t="shared" si="22"/>
        <v>#DIV/0!</v>
      </c>
      <c r="L46" s="34" t="str">
        <f t="shared" si="22"/>
        <v>#DIV/0!</v>
      </c>
      <c r="M46" s="34" t="str">
        <f t="shared" si="22"/>
        <v>#DIV/0!</v>
      </c>
      <c r="N46" s="34" t="str">
        <f t="shared" si="22"/>
        <v>#DIV/0!</v>
      </c>
      <c r="O46" s="34" t="str">
        <f t="shared" si="22"/>
        <v>#DIV/0!</v>
      </c>
      <c r="P46" s="34" t="str">
        <f t="shared" si="22"/>
        <v>#DIV/0!</v>
      </c>
      <c r="Q46" s="34" t="str">
        <f t="shared" si="22"/>
        <v>#DIV/0!</v>
      </c>
      <c r="R46" s="34" t="str">
        <f t="shared" si="22"/>
        <v>#DIV/0!</v>
      </c>
      <c r="S46" s="34" t="str">
        <f t="shared" si="22"/>
        <v>#DIV/0!</v>
      </c>
      <c r="T46" s="34" t="str">
        <f t="shared" si="22"/>
        <v>#DIV/0!</v>
      </c>
      <c r="U46" s="34" t="str">
        <f t="shared" si="22"/>
        <v>#DIV/0!</v>
      </c>
      <c r="V46" s="34" t="str">
        <f t="shared" si="22"/>
        <v>#DIV/0!</v>
      </c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</row>
    <row r="47">
      <c r="A47" s="23" t="s">
        <v>74</v>
      </c>
      <c r="B47" s="8">
        <f t="shared" ref="B47:V47" si="23">(B$46-B$3)/ABS(B$3)</f>
        <v>2.561800213</v>
      </c>
      <c r="C47" s="8">
        <f t="shared" si="23"/>
        <v>2.433215367</v>
      </c>
      <c r="D47" s="8">
        <f t="shared" si="23"/>
        <v>8.545960467</v>
      </c>
      <c r="E47" s="8">
        <f t="shared" si="23"/>
        <v>9.058379684</v>
      </c>
      <c r="F47" s="8">
        <f t="shared" si="23"/>
        <v>9.526412991</v>
      </c>
      <c r="G47" s="8" t="str">
        <f t="shared" si="23"/>
        <v>#DIV/0!</v>
      </c>
      <c r="H47" s="8" t="str">
        <f t="shared" si="23"/>
        <v>#DIV/0!</v>
      </c>
      <c r="I47" s="8" t="str">
        <f t="shared" si="23"/>
        <v>#DIV/0!</v>
      </c>
      <c r="J47" s="8" t="str">
        <f t="shared" si="23"/>
        <v>#DIV/0!</v>
      </c>
      <c r="K47" s="8" t="str">
        <f t="shared" si="23"/>
        <v>#DIV/0!</v>
      </c>
      <c r="L47" s="8" t="str">
        <f t="shared" si="23"/>
        <v>#DIV/0!</v>
      </c>
      <c r="M47" s="8" t="str">
        <f t="shared" si="23"/>
        <v>#DIV/0!</v>
      </c>
      <c r="N47" s="8" t="str">
        <f t="shared" si="23"/>
        <v>#DIV/0!</v>
      </c>
      <c r="O47" s="8" t="str">
        <f t="shared" si="23"/>
        <v>#DIV/0!</v>
      </c>
      <c r="P47" s="8" t="str">
        <f t="shared" si="23"/>
        <v>#DIV/0!</v>
      </c>
      <c r="Q47" s="8" t="str">
        <f t="shared" si="23"/>
        <v>#DIV/0!</v>
      </c>
      <c r="R47" s="8" t="str">
        <f t="shared" si="23"/>
        <v>#DIV/0!</v>
      </c>
      <c r="S47" s="8" t="str">
        <f t="shared" si="23"/>
        <v>#DIV/0!</v>
      </c>
      <c r="T47" s="8" t="str">
        <f t="shared" si="23"/>
        <v>#DIV/0!</v>
      </c>
      <c r="U47" s="8" t="str">
        <f t="shared" si="23"/>
        <v>#DIV/0!</v>
      </c>
      <c r="V47" s="8" t="str">
        <f t="shared" si="23"/>
        <v>#DIV/0!</v>
      </c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0.13"/>
    <col customWidth="1" min="2" max="22" width="19.5"/>
    <col customWidth="1" min="23" max="41" width="2.0"/>
  </cols>
  <sheetData>
    <row r="1">
      <c r="A1" s="3" t="s">
        <v>15</v>
      </c>
      <c r="B1" s="4" t="s">
        <v>16</v>
      </c>
      <c r="C1" s="7">
        <f t="array" ref="C1">IF(C$7="Local Currency",1,_xlfn.XLOOKUP(C$2,OFFSET(Dashboard!$A:$A,0,MATCH(C$7,Dashboard!$1:$1,0)-1),OFFSET(Dashboard!$A:$A,0,MATCH(C$7,Dashboard!$1:$1,0))))</f>
        <v>1</v>
      </c>
      <c r="D1" s="7">
        <f t="array" ref="D1">IF(D$7="Local Currency",1,_xlfn.XLOOKUP(D$2,OFFSET(Dashboard!$A:$A,0,MATCH(D$7,Dashboard!$1:$1,0)-1),OFFSET(Dashboard!$A:$A,0,MATCH(D$7,Dashboard!$1:$1,0))))</f>
        <v>1</v>
      </c>
      <c r="E1" s="7">
        <f t="array" ref="E1">IF(E$7="Local Currency",1,_xlfn.XLOOKUP(E$2,OFFSET(Dashboard!$A:$A,0,MATCH(E$7,Dashboard!$1:$1,0)-1),OFFSET(Dashboard!$A:$A,0,MATCH(E$7,Dashboard!$1:$1,0))))</f>
        <v>1</v>
      </c>
      <c r="F1" s="7">
        <f t="array" ref="F1">IF(F$7="Local Currency",1,_xlfn.XLOOKUP(F$2,OFFSET(Dashboard!$A:$A,0,MATCH(F$7,Dashboard!$1:$1,0)-1),OFFSET(Dashboard!$A:$A,0,MATCH(F$7,Dashboard!$1:$1,0))))</f>
        <v>1</v>
      </c>
      <c r="G1" s="7">
        <f t="array" ref="G1">IF(G$7="Local Currency",1,_xlfn.XLOOKUP(G$2,OFFSET(Dashboard!$A:$A,0,MATCH(G$7,Dashboard!$1:$1,0)-1),OFFSET(Dashboard!$A:$A,0,MATCH(G$7,Dashboard!$1:$1,0))))</f>
        <v>1</v>
      </c>
      <c r="H1" s="7">
        <f t="array" ref="H1">IF(H$7="Local Currency",1,_xlfn.XLOOKUP(H$2,OFFSET(Dashboard!$A:$A,0,MATCH(H$7,Dashboard!$1:$1,0)-1),OFFSET(Dashboard!$A:$A,0,MATCH(H$7,Dashboard!$1:$1,0))))</f>
        <v>1</v>
      </c>
      <c r="I1" s="7">
        <f t="array" ref="I1">IF(I$7="Local Currency",1,_xlfn.XLOOKUP(I$2,OFFSET(Dashboard!$A:$A,0,MATCH(I$7,Dashboard!$1:$1,0)-1),OFFSET(Dashboard!$A:$A,0,MATCH(I$7,Dashboard!$1:$1,0))))</f>
        <v>1</v>
      </c>
      <c r="J1" s="7">
        <f t="array" ref="J1">IF(J$7="Local Currency",1,_xlfn.XLOOKUP(J$2,OFFSET(Dashboard!$A:$A,0,MATCH(J$7,Dashboard!$1:$1,0)-1),OFFSET(Dashboard!$A:$A,0,MATCH(J$7,Dashboard!$1:$1,0))))</f>
        <v>1</v>
      </c>
      <c r="K1" s="7">
        <f t="array" ref="K1">IF(K$7="Local Currency",1,_xlfn.XLOOKUP(K$2,OFFSET(Dashboard!$A:$A,0,MATCH(K$7,Dashboard!$1:$1,0)-1),OFFSET(Dashboard!$A:$A,0,MATCH(K$7,Dashboard!$1:$1,0))))</f>
        <v>1</v>
      </c>
      <c r="L1" s="7">
        <f t="array" ref="L1">IF(L$7="Local Currency",1,_xlfn.XLOOKUP(L$2,OFFSET(Dashboard!$A:$A,0,MATCH(L$7,Dashboard!$1:$1,0)-1),OFFSET(Dashboard!$A:$A,0,MATCH(L$7,Dashboard!$1:$1,0))))</f>
        <v>1</v>
      </c>
      <c r="M1" s="7">
        <f t="array" ref="M1">IF(M$7="Local Currency",1,_xlfn.XLOOKUP(M$2,OFFSET(Dashboard!$A:$A,0,MATCH(M$7,Dashboard!$1:$1,0)-1),OFFSET(Dashboard!$A:$A,0,MATCH(M$7,Dashboard!$1:$1,0))))</f>
        <v>1</v>
      </c>
      <c r="N1" s="7">
        <f t="array" ref="N1">IF(N$7="Local Currency",1,_xlfn.XLOOKUP(N$2,OFFSET(Dashboard!$A:$A,0,MATCH(N$7,Dashboard!$1:$1,0)-1),OFFSET(Dashboard!$A:$A,0,MATCH(N$7,Dashboard!$1:$1,0))))</f>
        <v>1</v>
      </c>
      <c r="O1" s="7">
        <f t="array" ref="O1">IF(O$7="Local Currency",1,_xlfn.XLOOKUP(O$2,OFFSET(Dashboard!$A:$A,0,MATCH(O$7,Dashboard!$1:$1,0)-1),OFFSET(Dashboard!$A:$A,0,MATCH(O$7,Dashboard!$1:$1,0))))</f>
        <v>1</v>
      </c>
      <c r="P1" s="7">
        <f t="array" ref="P1">IF(P$7="Local Currency",1,_xlfn.XLOOKUP(P$2,OFFSET(Dashboard!$A:$A,0,MATCH(P$7,Dashboard!$1:$1,0)-1),OFFSET(Dashboard!$A:$A,0,MATCH(P$7,Dashboard!$1:$1,0))))</f>
        <v>1</v>
      </c>
      <c r="Q1" s="7">
        <f t="array" ref="Q1">IF(Q$7="Local Currency",1,_xlfn.XLOOKUP(Q$2,OFFSET(Dashboard!$A:$A,0,MATCH(Q$7,Dashboard!$1:$1,0)-1),OFFSET(Dashboard!$A:$A,0,MATCH(Q$7,Dashboard!$1:$1,0))))</f>
        <v>1</v>
      </c>
      <c r="R1" s="7">
        <f t="array" ref="R1">IF(R$7="Local Currency",1,_xlfn.XLOOKUP(R$2,OFFSET(Dashboard!$A:$A,0,MATCH(R$7,Dashboard!$1:$1,0)-1),OFFSET(Dashboard!$A:$A,0,MATCH(R$7,Dashboard!$1:$1,0))))</f>
        <v>1</v>
      </c>
      <c r="S1" s="7">
        <f t="array" ref="S1">IF(S$7="Local Currency",1,_xlfn.XLOOKUP(S$2,OFFSET(Dashboard!$A:$A,0,MATCH(S$7,Dashboard!$1:$1,0)-1),OFFSET(Dashboard!$A:$A,0,MATCH(S$7,Dashboard!$1:$1,0))))</f>
        <v>1</v>
      </c>
      <c r="T1" s="7">
        <f t="array" ref="T1">IF(T$7="Local Currency",1,_xlfn.XLOOKUP(T$2,OFFSET(Dashboard!$A:$A,0,MATCH(T$7,Dashboard!$1:$1,0)-1),OFFSET(Dashboard!$A:$A,0,MATCH(T$7,Dashboard!$1:$1,0))))</f>
        <v>1</v>
      </c>
      <c r="U1" s="7">
        <f t="array" ref="U1">IF(U$7="Local Currency",1,_xlfn.XLOOKUP(U$2,OFFSET(Dashboard!$A:$A,0,MATCH(U$7,Dashboard!$1:$1,0)-1),OFFSET(Dashboard!$A:$A,0,MATCH(U$7,Dashboard!$1:$1,0))))</f>
        <v>1</v>
      </c>
      <c r="V1" s="7">
        <f t="array" ref="V1">IF(V$7="Local Currency",1,_xlfn.XLOOKUP(V$2,OFFSET(Dashboard!$A:$A,0,MATCH(V$7,Dashboard!$1:$1,0)-1),OFFSET(Dashboard!$A:$A,0,MATCH(V$7,Dashboard!$1:$1,0))))</f>
        <v>1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10" t="s">
        <v>18</v>
      </c>
      <c r="B2" s="11" t="s">
        <v>19</v>
      </c>
      <c r="C2" s="12" t="s">
        <v>20</v>
      </c>
      <c r="D2" s="11" t="s">
        <v>21</v>
      </c>
      <c r="E2" s="11" t="s">
        <v>22</v>
      </c>
      <c r="F2" s="11" t="s">
        <v>23</v>
      </c>
      <c r="G2" s="12" t="s">
        <v>24</v>
      </c>
      <c r="H2" s="11" t="s">
        <v>25</v>
      </c>
      <c r="I2" s="11" t="s">
        <v>26</v>
      </c>
      <c r="J2" s="11" t="s">
        <v>27</v>
      </c>
      <c r="K2" s="12" t="s">
        <v>28</v>
      </c>
      <c r="L2" s="12" t="s">
        <v>29</v>
      </c>
      <c r="M2" s="12" t="s">
        <v>30</v>
      </c>
      <c r="N2" s="12" t="s">
        <v>31</v>
      </c>
      <c r="O2" s="12" t="s">
        <v>32</v>
      </c>
      <c r="P2" s="12" t="s">
        <v>33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38</v>
      </c>
      <c r="V2" s="12" t="s">
        <v>39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>
      <c r="A3" s="4" t="s">
        <v>40</v>
      </c>
      <c r="B3" s="13">
        <v>1335.0</v>
      </c>
      <c r="C3" s="13">
        <v>1385.0</v>
      </c>
      <c r="D3" s="13">
        <v>1065.0</v>
      </c>
      <c r="E3" s="13">
        <v>1010.0</v>
      </c>
      <c r="F3" s="13">
        <v>775.0</v>
      </c>
      <c r="G3" s="13">
        <v>705.0</v>
      </c>
      <c r="H3" s="13">
        <v>685.0</v>
      </c>
      <c r="I3" s="13">
        <v>670.0</v>
      </c>
      <c r="J3" s="13">
        <v>690.0</v>
      </c>
      <c r="K3" s="13">
        <v>715.0</v>
      </c>
      <c r="L3" s="13">
        <v>710.0</v>
      </c>
      <c r="M3" s="13">
        <v>765.0</v>
      </c>
      <c r="N3" s="13">
        <v>625.0</v>
      </c>
      <c r="O3" s="13">
        <v>570.0</v>
      </c>
      <c r="P3" s="13">
        <v>505.0</v>
      </c>
      <c r="Q3" s="13">
        <v>615.0</v>
      </c>
      <c r="R3" s="13">
        <v>550.0</v>
      </c>
      <c r="S3" s="13">
        <v>515.0</v>
      </c>
      <c r="T3" s="13">
        <v>595.0</v>
      </c>
      <c r="U3" s="13">
        <v>490.0</v>
      </c>
      <c r="V3" s="13">
        <v>595.0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>
      <c r="A5" s="14" t="s">
        <v>41</v>
      </c>
      <c r="B5" s="16">
        <f>B$3*OFFSET(B$5,0,1)/OFFSET(B$3,0,1)</f>
        <v>2427178984665</v>
      </c>
      <c r="C5" s="16">
        <f t="shared" ref="C5:V5" si="1">C$23*C$3</f>
        <v>2518084564615</v>
      </c>
      <c r="D5" s="16">
        <f t="shared" si="1"/>
        <v>1936684063785</v>
      </c>
      <c r="E5" s="16">
        <f t="shared" si="1"/>
        <v>1836493590860</v>
      </c>
      <c r="F5" s="16">
        <f t="shared" si="1"/>
        <v>1409291726950</v>
      </c>
      <c r="G5" s="16">
        <f t="shared" si="1"/>
        <v>1281580755315</v>
      </c>
      <c r="H5" s="16">
        <f t="shared" si="1"/>
        <v>1245773686145</v>
      </c>
      <c r="I5" s="16">
        <f t="shared" si="1"/>
        <v>1218278165400</v>
      </c>
      <c r="J5" s="16">
        <f t="shared" si="1"/>
        <v>1254740877600</v>
      </c>
      <c r="K5" s="16">
        <f t="shared" si="1"/>
        <v>1300073125065</v>
      </c>
      <c r="L5" s="16">
        <f t="shared" si="1"/>
        <v>1291061740070</v>
      </c>
      <c r="M5" s="16">
        <f t="shared" si="1"/>
        <v>1390984219890</v>
      </c>
      <c r="N5" s="16">
        <f t="shared" si="1"/>
        <v>1136544136250</v>
      </c>
      <c r="O5" s="16">
        <f t="shared" si="1"/>
        <v>1036418339730</v>
      </c>
      <c r="P5" s="16">
        <f t="shared" si="1"/>
        <v>918284327535</v>
      </c>
      <c r="Q5" s="16">
        <f t="shared" si="1"/>
        <v>1118124564645</v>
      </c>
      <c r="R5" s="16">
        <f t="shared" si="1"/>
        <v>1000274532950</v>
      </c>
      <c r="S5" s="16">
        <f t="shared" si="1"/>
        <v>937082125645</v>
      </c>
      <c r="T5" s="16">
        <f t="shared" si="1"/>
        <v>1080863816585</v>
      </c>
      <c r="U5" s="16">
        <f t="shared" si="1"/>
        <v>891089235890</v>
      </c>
      <c r="V5" s="16">
        <f t="shared" si="1"/>
        <v>1082036929295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</row>
    <row r="7">
      <c r="A7" s="4" t="s">
        <v>42</v>
      </c>
      <c r="B7" s="19" t="str">
        <f t="array" ref="B7">IF(COUNTIF($C7:$7,INDEX($C7:$7,MATCH(TRUE,$C7:$7&lt;&gt;"",0)))=COUNTIF($C7:$7,"&lt;&gt;"),"All "&amp;INDEX($C7:$7,MATCH(TRUE,$C7:$7&lt;&gt;"",0)),INDEX($C7:$7,MATCH(MAX(INDEX(COUNTIF($C7:$7,$C7:$7),0)),INDEX(COUNTIF($C7:$7,$C7:$7),0),0))&amp;" Dominant")</f>
        <v>All Local Currency</v>
      </c>
      <c r="C7" s="19" t="s">
        <v>43</v>
      </c>
      <c r="D7" s="19" t="s">
        <v>43</v>
      </c>
      <c r="E7" s="19" t="s">
        <v>43</v>
      </c>
      <c r="F7" s="19" t="s">
        <v>43</v>
      </c>
      <c r="G7" s="19" t="s">
        <v>43</v>
      </c>
      <c r="H7" s="19" t="s">
        <v>43</v>
      </c>
      <c r="I7" s="19" t="s">
        <v>43</v>
      </c>
      <c r="J7" s="19" t="s">
        <v>43</v>
      </c>
      <c r="K7" s="19" t="s">
        <v>43</v>
      </c>
      <c r="L7" s="19" t="s">
        <v>43</v>
      </c>
      <c r="M7" s="19" t="s">
        <v>43</v>
      </c>
      <c r="N7" s="19" t="s">
        <v>43</v>
      </c>
      <c r="O7" s="19" t="s">
        <v>43</v>
      </c>
      <c r="P7" s="19" t="s">
        <v>43</v>
      </c>
      <c r="Q7" s="19" t="s">
        <v>43</v>
      </c>
      <c r="R7" s="19" t="s">
        <v>43</v>
      </c>
      <c r="S7" s="19" t="s">
        <v>43</v>
      </c>
      <c r="T7" s="19" t="s">
        <v>43</v>
      </c>
      <c r="U7" s="19" t="s">
        <v>43</v>
      </c>
      <c r="V7" s="19" t="s">
        <v>43</v>
      </c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>
      <c r="A8" s="17"/>
      <c r="B8" s="20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</row>
    <row r="9">
      <c r="A9" s="21" t="s">
        <v>44</v>
      </c>
      <c r="B9" s="11" t="str">
        <f t="shared" ref="B9:V9" si="2">B$2</f>
        <v>Current</v>
      </c>
      <c r="C9" s="11" t="str">
        <f t="shared" si="2"/>
        <v>FY2025</v>
      </c>
      <c r="D9" s="11" t="str">
        <f t="shared" si="2"/>
        <v>9M2025</v>
      </c>
      <c r="E9" s="11" t="str">
        <f t="shared" si="2"/>
        <v>1H2025</v>
      </c>
      <c r="F9" s="11" t="str">
        <f t="shared" si="2"/>
        <v>1Q2025</v>
      </c>
      <c r="G9" s="11" t="str">
        <f t="shared" si="2"/>
        <v>FY2024</v>
      </c>
      <c r="H9" s="11" t="str">
        <f t="shared" si="2"/>
        <v>9M2024</v>
      </c>
      <c r="I9" s="11" t="str">
        <f t="shared" si="2"/>
        <v>1H2024</v>
      </c>
      <c r="J9" s="11" t="str">
        <f t="shared" si="2"/>
        <v>1Q2024</v>
      </c>
      <c r="K9" s="11" t="str">
        <f t="shared" si="2"/>
        <v>FY2023</v>
      </c>
      <c r="L9" s="11" t="str">
        <f t="shared" si="2"/>
        <v>9M2023</v>
      </c>
      <c r="M9" s="11" t="str">
        <f t="shared" si="2"/>
        <v>1H2023</v>
      </c>
      <c r="N9" s="11" t="str">
        <f t="shared" si="2"/>
        <v>1Q2023</v>
      </c>
      <c r="O9" s="11" t="str">
        <f t="shared" si="2"/>
        <v>FY2022</v>
      </c>
      <c r="P9" s="11" t="str">
        <f t="shared" si="2"/>
        <v>9M2022</v>
      </c>
      <c r="Q9" s="11" t="str">
        <f t="shared" si="2"/>
        <v>1H2022</v>
      </c>
      <c r="R9" s="11" t="str">
        <f t="shared" si="2"/>
        <v>1Q2022</v>
      </c>
      <c r="S9" s="11" t="str">
        <f t="shared" si="2"/>
        <v>FY2021</v>
      </c>
      <c r="T9" s="11" t="str">
        <f t="shared" si="2"/>
        <v>9M2021</v>
      </c>
      <c r="U9" s="11" t="str">
        <f t="shared" si="2"/>
        <v>1H2021</v>
      </c>
      <c r="V9" s="11" t="str">
        <f t="shared" si="2"/>
        <v>1Q2021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>
      <c r="A10" s="4" t="s">
        <v>45</v>
      </c>
      <c r="B10" s="19" t="str">
        <f t="array" ref="B10">IF(COUNTIF($C10:$10,INDEX($C10:$10,MATCH(TRUE,$C10:$10&lt;&gt;"",0)))=COUNTIF($C10:$10,"&lt;&gt;"),"All "&amp;INDEX($C10:$10,MATCH(TRUE,$C10:$10&lt;&gt;"",0)),INDEX($C10:$10,MATCH(MAX(INDEX(COUNTIF($C10:$10,$C10:$10),0)),INDEX(COUNTIF($C10:$10,$C10:$10),0),0))&amp;" Dominant")</f>
        <v>Quarterly Dominant</v>
      </c>
      <c r="C10" s="22" t="s">
        <v>46</v>
      </c>
      <c r="D10" s="22" t="s">
        <v>47</v>
      </c>
      <c r="E10" s="22" t="s">
        <v>46</v>
      </c>
      <c r="F10" s="22" t="s">
        <v>47</v>
      </c>
      <c r="G10" s="22" t="s">
        <v>46</v>
      </c>
      <c r="H10" s="22" t="s">
        <v>47</v>
      </c>
      <c r="I10" s="22" t="s">
        <v>47</v>
      </c>
      <c r="J10" s="22" t="s">
        <v>46</v>
      </c>
      <c r="K10" s="22" t="s">
        <v>47</v>
      </c>
      <c r="L10" s="22" t="s">
        <v>46</v>
      </c>
      <c r="M10" s="22" t="s">
        <v>47</v>
      </c>
      <c r="N10" s="22" t="s">
        <v>46</v>
      </c>
      <c r="O10" s="22" t="s">
        <v>47</v>
      </c>
      <c r="P10" s="22" t="s">
        <v>46</v>
      </c>
      <c r="Q10" s="22" t="s">
        <v>47</v>
      </c>
      <c r="R10" s="22" t="s">
        <v>46</v>
      </c>
      <c r="S10" s="22" t="s">
        <v>47</v>
      </c>
      <c r="T10" s="22" t="s">
        <v>46</v>
      </c>
      <c r="U10" s="22" t="s">
        <v>47</v>
      </c>
      <c r="V10" s="22" t="s">
        <v>46</v>
      </c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</row>
    <row r="11">
      <c r="A11" s="23"/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</row>
    <row r="12">
      <c r="A12" s="4" t="s">
        <v>48</v>
      </c>
      <c r="B12" s="17"/>
      <c r="C12" s="24">
        <v>2.69720224E11</v>
      </c>
      <c r="D12" s="16">
        <v>6.60240192E11</v>
      </c>
      <c r="E12" s="24">
        <v>2.12278201E11</v>
      </c>
      <c r="F12" s="16">
        <v>2.03271873E11</v>
      </c>
      <c r="G12" s="24">
        <v>2.3877201E11</v>
      </c>
      <c r="H12" s="16">
        <v>5.85823826E11</v>
      </c>
      <c r="I12" s="16">
        <v>3.60261682E11</v>
      </c>
      <c r="J12" s="24">
        <v>1.75637819E11</v>
      </c>
      <c r="K12" s="16">
        <v>7.3520494E11</v>
      </c>
      <c r="L12" s="24">
        <v>1.812019E11</v>
      </c>
      <c r="M12" s="16">
        <v>3.66960224E11</v>
      </c>
      <c r="N12" s="24">
        <v>1.91151747E11</v>
      </c>
      <c r="O12" s="16">
        <v>7.26573259E11</v>
      </c>
      <c r="P12" s="24">
        <v>2.06003408E11</v>
      </c>
      <c r="Q12" s="16">
        <v>3.02336582E11</v>
      </c>
      <c r="R12" s="24">
        <v>1.50046126E11</v>
      </c>
      <c r="S12" s="16">
        <v>5.1683695E11</v>
      </c>
      <c r="T12" s="24">
        <v>1.14487473E11</v>
      </c>
      <c r="U12" s="16">
        <v>2.33284768E11</v>
      </c>
      <c r="V12" s="24">
        <v>1.19923887E11</v>
      </c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</row>
    <row r="13">
      <c r="A13" s="4" t="s">
        <v>49</v>
      </c>
      <c r="B13" s="17"/>
      <c r="C13" s="24">
        <v>6.621597E10</v>
      </c>
      <c r="D13" s="16">
        <v>1.9029675E11</v>
      </c>
      <c r="E13" s="24">
        <v>6.2675757E10</v>
      </c>
      <c r="F13" s="16">
        <v>5.1170928E10</v>
      </c>
      <c r="G13" s="24">
        <v>6.4191999E10</v>
      </c>
      <c r="H13" s="16">
        <v>1.48024228E11</v>
      </c>
      <c r="I13" s="16">
        <v>8.0687656E10</v>
      </c>
      <c r="J13" s="24">
        <v>3.8387797E10</v>
      </c>
      <c r="K13" s="16">
        <v>1.90854844E11</v>
      </c>
      <c r="L13" s="24">
        <v>6.3025448E10</v>
      </c>
      <c r="M13" s="16">
        <v>7.8917489E10</v>
      </c>
      <c r="N13" s="24">
        <v>4.2333996E10</v>
      </c>
      <c r="O13" s="16">
        <v>1.61724767E11</v>
      </c>
      <c r="P13" s="24">
        <v>6.3479716E10</v>
      </c>
      <c r="Q13" s="16">
        <v>4.5415809E10</v>
      </c>
      <c r="R13" s="24">
        <v>3.5264224E10</v>
      </c>
      <c r="S13" s="16">
        <v>6.0056174E10</v>
      </c>
      <c r="T13" s="24">
        <v>1.763922E9</v>
      </c>
      <c r="U13" s="16">
        <v>1.4832433E10</v>
      </c>
      <c r="V13" s="24">
        <v>1.7891287E10</v>
      </c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</row>
    <row r="14">
      <c r="A14" s="23"/>
      <c r="B14" s="17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</row>
    <row r="15">
      <c r="A15" s="23" t="s">
        <v>50</v>
      </c>
      <c r="B15" s="14"/>
      <c r="C15" s="24">
        <f t="shared" ref="C15:V15" si="3">IF(C$10="Quarterly",C$12,IF(LEFT(C$2,2)="1Q",C$16,C$16-D$16))</f>
        <v>269720224000</v>
      </c>
      <c r="D15" s="24">
        <f t="shared" si="3"/>
        <v>244690118000</v>
      </c>
      <c r="E15" s="24">
        <f t="shared" si="3"/>
        <v>212278201000</v>
      </c>
      <c r="F15" s="24">
        <f t="shared" si="3"/>
        <v>203271873000</v>
      </c>
      <c r="G15" s="24">
        <f t="shared" si="3"/>
        <v>238772010000</v>
      </c>
      <c r="H15" s="24">
        <f t="shared" si="3"/>
        <v>225562144000</v>
      </c>
      <c r="I15" s="24">
        <f t="shared" si="3"/>
        <v>184623863000</v>
      </c>
      <c r="J15" s="24">
        <f t="shared" si="3"/>
        <v>175637819000</v>
      </c>
      <c r="K15" s="24">
        <f t="shared" si="3"/>
        <v>187042816000</v>
      </c>
      <c r="L15" s="24">
        <f t="shared" si="3"/>
        <v>181201900000</v>
      </c>
      <c r="M15" s="24">
        <f t="shared" si="3"/>
        <v>175808477000</v>
      </c>
      <c r="N15" s="24">
        <f t="shared" si="3"/>
        <v>191151747000</v>
      </c>
      <c r="O15" s="24">
        <f t="shared" si="3"/>
        <v>218233269000</v>
      </c>
      <c r="P15" s="24">
        <f t="shared" si="3"/>
        <v>206003408000</v>
      </c>
      <c r="Q15" s="24">
        <f t="shared" si="3"/>
        <v>152290456000</v>
      </c>
      <c r="R15" s="24">
        <f t="shared" si="3"/>
        <v>150046126000</v>
      </c>
      <c r="S15" s="24">
        <f t="shared" si="3"/>
        <v>169064709000</v>
      </c>
      <c r="T15" s="24">
        <f t="shared" si="3"/>
        <v>114487473000</v>
      </c>
      <c r="U15" s="24">
        <f t="shared" si="3"/>
        <v>113360881000</v>
      </c>
      <c r="V15" s="24">
        <f t="shared" si="3"/>
        <v>119923887000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>
      <c r="A16" s="23" t="s">
        <v>51</v>
      </c>
      <c r="B16" s="17"/>
      <c r="C16" s="25">
        <f t="shared" ref="C16:V16" si="4">IF(C$10="YTD",C$12,IF(LEFT(C$2,2)="1Q",C$15,IF(LEFT(C$2,2)="1H",SUM(C$15:D$15),IF(LEFT(C$2,2)="9M",SUM(C$15:E$15),SUM(C$15:F$15)))))</f>
        <v>929960416000</v>
      </c>
      <c r="D16" s="25">
        <f t="shared" si="4"/>
        <v>660240192000</v>
      </c>
      <c r="E16" s="25">
        <f t="shared" si="4"/>
        <v>415550074000</v>
      </c>
      <c r="F16" s="25">
        <f t="shared" si="4"/>
        <v>203271873000</v>
      </c>
      <c r="G16" s="25">
        <f t="shared" si="4"/>
        <v>824595836000</v>
      </c>
      <c r="H16" s="25">
        <f t="shared" si="4"/>
        <v>585823826000</v>
      </c>
      <c r="I16" s="25">
        <f t="shared" si="4"/>
        <v>360261682000</v>
      </c>
      <c r="J16" s="25">
        <f t="shared" si="4"/>
        <v>175637819000</v>
      </c>
      <c r="K16" s="25">
        <f t="shared" si="4"/>
        <v>735204940000</v>
      </c>
      <c r="L16" s="25">
        <f t="shared" si="4"/>
        <v>548162124000</v>
      </c>
      <c r="M16" s="25">
        <f t="shared" si="4"/>
        <v>366960224000</v>
      </c>
      <c r="N16" s="25">
        <f t="shared" si="4"/>
        <v>191151747000</v>
      </c>
      <c r="O16" s="25">
        <f t="shared" si="4"/>
        <v>726573259000</v>
      </c>
      <c r="P16" s="25">
        <f t="shared" si="4"/>
        <v>508339990000</v>
      </c>
      <c r="Q16" s="25">
        <f t="shared" si="4"/>
        <v>302336582000</v>
      </c>
      <c r="R16" s="25">
        <f t="shared" si="4"/>
        <v>150046126000</v>
      </c>
      <c r="S16" s="25">
        <f t="shared" si="4"/>
        <v>516836950000</v>
      </c>
      <c r="T16" s="25">
        <f t="shared" si="4"/>
        <v>347772241000</v>
      </c>
      <c r="U16" s="25">
        <f t="shared" si="4"/>
        <v>233284768000</v>
      </c>
      <c r="V16" s="25">
        <f t="shared" si="4"/>
        <v>119923887000</v>
      </c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</row>
    <row r="17">
      <c r="A17" s="23" t="s">
        <v>52</v>
      </c>
      <c r="B17" s="17"/>
      <c r="C17" s="26">
        <f t="shared" ref="C17:V17" si="5">(C$16-G$16)/ABS(G$16)</f>
        <v>0.12777724</v>
      </c>
      <c r="D17" s="26">
        <f t="shared" si="5"/>
        <v>0.1270285753</v>
      </c>
      <c r="E17" s="26">
        <f t="shared" si="5"/>
        <v>0.1534673121</v>
      </c>
      <c r="F17" s="26">
        <f t="shared" si="5"/>
        <v>0.1573354427</v>
      </c>
      <c r="G17" s="26">
        <f t="shared" si="5"/>
        <v>0.1215863647</v>
      </c>
      <c r="H17" s="26">
        <f t="shared" si="5"/>
        <v>0.06870540731</v>
      </c>
      <c r="I17" s="26">
        <f t="shared" si="5"/>
        <v>-0.01825413645</v>
      </c>
      <c r="J17" s="26">
        <f t="shared" si="5"/>
        <v>-0.08116027315</v>
      </c>
      <c r="K17" s="26">
        <f t="shared" si="5"/>
        <v>0.01187998718</v>
      </c>
      <c r="L17" s="26">
        <f t="shared" si="5"/>
        <v>0.07833759843</v>
      </c>
      <c r="M17" s="26">
        <f t="shared" si="5"/>
        <v>0.213747346</v>
      </c>
      <c r="N17" s="26">
        <f t="shared" si="5"/>
        <v>0.2739532309</v>
      </c>
      <c r="O17" s="26">
        <f t="shared" si="5"/>
        <v>0.4058074969</v>
      </c>
      <c r="P17" s="26">
        <f t="shared" si="5"/>
        <v>0.4617037534</v>
      </c>
      <c r="Q17" s="26">
        <f t="shared" si="5"/>
        <v>0.2959979539</v>
      </c>
      <c r="R17" s="26">
        <f t="shared" si="5"/>
        <v>0.2511779742</v>
      </c>
      <c r="S17" s="26" t="str">
        <f t="shared" si="5"/>
        <v>#DIV/0!</v>
      </c>
      <c r="T17" s="26" t="str">
        <f t="shared" si="5"/>
        <v>#DIV/0!</v>
      </c>
      <c r="U17" s="26" t="str">
        <f t="shared" si="5"/>
        <v>#DIV/0!</v>
      </c>
      <c r="V17" s="26" t="str">
        <f t="shared" si="5"/>
        <v>#DIV/0!</v>
      </c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>
      <c r="A19" s="23" t="s">
        <v>53</v>
      </c>
      <c r="B19" s="14"/>
      <c r="C19" s="24">
        <f t="shared" ref="C19:V19" si="6">IF(C$10="Quarterly",C$13,IF(LEFT(C$2,2)="1Q",C$20,C$20-D$20))</f>
        <v>66215970000</v>
      </c>
      <c r="D19" s="24">
        <f t="shared" si="6"/>
        <v>76450065000</v>
      </c>
      <c r="E19" s="24">
        <f t="shared" si="6"/>
        <v>62675757000</v>
      </c>
      <c r="F19" s="24">
        <f t="shared" si="6"/>
        <v>51170928000</v>
      </c>
      <c r="G19" s="24">
        <f t="shared" si="6"/>
        <v>64191999000</v>
      </c>
      <c r="H19" s="24">
        <f t="shared" si="6"/>
        <v>67336572000</v>
      </c>
      <c r="I19" s="24">
        <f t="shared" si="6"/>
        <v>42299859000</v>
      </c>
      <c r="J19" s="24">
        <f t="shared" si="6"/>
        <v>38387797000</v>
      </c>
      <c r="K19" s="24">
        <f t="shared" si="6"/>
        <v>48911907000</v>
      </c>
      <c r="L19" s="24">
        <f t="shared" si="6"/>
        <v>63025448000</v>
      </c>
      <c r="M19" s="24">
        <f t="shared" si="6"/>
        <v>36583493000</v>
      </c>
      <c r="N19" s="24">
        <f t="shared" si="6"/>
        <v>42333996000</v>
      </c>
      <c r="O19" s="24">
        <f t="shared" si="6"/>
        <v>52829242000</v>
      </c>
      <c r="P19" s="24">
        <f t="shared" si="6"/>
        <v>63479716000</v>
      </c>
      <c r="Q19" s="24">
        <f t="shared" si="6"/>
        <v>10151585000</v>
      </c>
      <c r="R19" s="24">
        <f t="shared" si="6"/>
        <v>35264224000</v>
      </c>
      <c r="S19" s="24">
        <f t="shared" si="6"/>
        <v>43459819000</v>
      </c>
      <c r="T19" s="24">
        <f t="shared" si="6"/>
        <v>1763922000</v>
      </c>
      <c r="U19" s="24">
        <f t="shared" si="6"/>
        <v>-3058854000</v>
      </c>
      <c r="V19" s="24">
        <f t="shared" si="6"/>
        <v>17891287000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>
      <c r="A20" s="23" t="s">
        <v>54</v>
      </c>
      <c r="B20" s="14"/>
      <c r="C20" s="25">
        <f t="shared" ref="C20:V20" si="7">IF(C$10="YTD",C$13,IF(LEFT(C$2,2)="1Q",C$19,IF(LEFT(C$2,2)="1H",SUM(C$19:D$19),IF(LEFT(C$2,2)="9M",SUM(C$19:E$19),SUM(C$19:F$19)))))</f>
        <v>256512720000</v>
      </c>
      <c r="D20" s="25">
        <f t="shared" si="7"/>
        <v>190296750000</v>
      </c>
      <c r="E20" s="25">
        <f t="shared" si="7"/>
        <v>113846685000</v>
      </c>
      <c r="F20" s="25">
        <f t="shared" si="7"/>
        <v>51170928000</v>
      </c>
      <c r="G20" s="25">
        <f t="shared" si="7"/>
        <v>212216227000</v>
      </c>
      <c r="H20" s="25">
        <f t="shared" si="7"/>
        <v>148024228000</v>
      </c>
      <c r="I20" s="25">
        <f t="shared" si="7"/>
        <v>80687656000</v>
      </c>
      <c r="J20" s="25">
        <f t="shared" si="7"/>
        <v>38387797000</v>
      </c>
      <c r="K20" s="25">
        <f t="shared" si="7"/>
        <v>190854844000</v>
      </c>
      <c r="L20" s="25">
        <f t="shared" si="7"/>
        <v>141942937000</v>
      </c>
      <c r="M20" s="25">
        <f t="shared" si="7"/>
        <v>78917489000</v>
      </c>
      <c r="N20" s="25">
        <f t="shared" si="7"/>
        <v>42333996000</v>
      </c>
      <c r="O20" s="25">
        <f t="shared" si="7"/>
        <v>161724767000</v>
      </c>
      <c r="P20" s="25">
        <f t="shared" si="7"/>
        <v>108895525000</v>
      </c>
      <c r="Q20" s="25">
        <f t="shared" si="7"/>
        <v>45415809000</v>
      </c>
      <c r="R20" s="25">
        <f t="shared" si="7"/>
        <v>35264224000</v>
      </c>
      <c r="S20" s="25">
        <f t="shared" si="7"/>
        <v>60056174000</v>
      </c>
      <c r="T20" s="25">
        <f t="shared" si="7"/>
        <v>16596355000</v>
      </c>
      <c r="U20" s="25">
        <f t="shared" si="7"/>
        <v>14832433000</v>
      </c>
      <c r="V20" s="25">
        <f t="shared" si="7"/>
        <v>17891287000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>
      <c r="A21" s="23" t="s">
        <v>55</v>
      </c>
      <c r="B21" s="14"/>
      <c r="C21" s="26">
        <f t="shared" ref="C21:V21" si="8">(C$20-G$20)/ABS(G$20)</f>
        <v>0.208732827</v>
      </c>
      <c r="D21" s="26">
        <f t="shared" si="8"/>
        <v>0.2855783987</v>
      </c>
      <c r="E21" s="26">
        <f t="shared" si="8"/>
        <v>0.4109554131</v>
      </c>
      <c r="F21" s="26">
        <f t="shared" si="8"/>
        <v>0.3329998593</v>
      </c>
      <c r="G21" s="26">
        <f t="shared" si="8"/>
        <v>0.111924762</v>
      </c>
      <c r="H21" s="26">
        <f t="shared" si="8"/>
        <v>0.04284320959</v>
      </c>
      <c r="I21" s="26">
        <f t="shared" si="8"/>
        <v>0.0224306047</v>
      </c>
      <c r="J21" s="26">
        <f t="shared" si="8"/>
        <v>-0.09321584005</v>
      </c>
      <c r="K21" s="26">
        <f t="shared" si="8"/>
        <v>0.1801213107</v>
      </c>
      <c r="L21" s="26">
        <f t="shared" si="8"/>
        <v>0.3034781457</v>
      </c>
      <c r="M21" s="26">
        <f t="shared" si="8"/>
        <v>0.7376656001</v>
      </c>
      <c r="N21" s="26">
        <f t="shared" si="8"/>
        <v>0.2004800106</v>
      </c>
      <c r="O21" s="26">
        <f t="shared" si="8"/>
        <v>1.692891608</v>
      </c>
      <c r="P21" s="26">
        <f t="shared" si="8"/>
        <v>5.561412129</v>
      </c>
      <c r="Q21" s="26">
        <f t="shared" si="8"/>
        <v>2.061925781</v>
      </c>
      <c r="R21" s="26">
        <f t="shared" si="8"/>
        <v>0.9710277969</v>
      </c>
      <c r="S21" s="26" t="str">
        <f t="shared" si="8"/>
        <v>#DIV/0!</v>
      </c>
      <c r="T21" s="26" t="str">
        <f t="shared" si="8"/>
        <v>#DIV/0!</v>
      </c>
      <c r="U21" s="26" t="str">
        <f t="shared" si="8"/>
        <v>#DIV/0!</v>
      </c>
      <c r="V21" s="26" t="str">
        <f t="shared" si="8"/>
        <v>#DIV/0!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>
      <c r="A22" s="23"/>
      <c r="B22" s="17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</row>
    <row r="23">
      <c r="A23" s="4" t="s">
        <v>56</v>
      </c>
      <c r="B23" s="14"/>
      <c r="C23" s="24">
        <v>1.818111599E9</v>
      </c>
      <c r="D23" s="24">
        <v>1.818482689E9</v>
      </c>
      <c r="E23" s="24">
        <v>1.818310486E9</v>
      </c>
      <c r="F23" s="24">
        <v>1.818440938E9</v>
      </c>
      <c r="G23" s="24">
        <v>1.817845043E9</v>
      </c>
      <c r="H23" s="24">
        <v>1.818647717E9</v>
      </c>
      <c r="I23" s="24">
        <v>1.81832562E9</v>
      </c>
      <c r="J23" s="24">
        <v>1.81846504E9</v>
      </c>
      <c r="K23" s="24">
        <v>1.818284091E9</v>
      </c>
      <c r="L23" s="24">
        <v>1.818396817E9</v>
      </c>
      <c r="M23" s="24">
        <v>1.818280026E9</v>
      </c>
      <c r="N23" s="24">
        <v>1.818470618E9</v>
      </c>
      <c r="O23" s="24">
        <v>1.818277789E9</v>
      </c>
      <c r="P23" s="24">
        <v>1.818384807E9</v>
      </c>
      <c r="Q23" s="24">
        <v>1.818088723E9</v>
      </c>
      <c r="R23" s="24">
        <v>1.818680969E9</v>
      </c>
      <c r="S23" s="24">
        <v>1.819576943E9</v>
      </c>
      <c r="T23" s="24">
        <v>1.816577843E9</v>
      </c>
      <c r="U23" s="24">
        <v>1.818549461E9</v>
      </c>
      <c r="V23" s="24">
        <v>1.818549461E9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>
      <c r="A24" s="14"/>
      <c r="B24" s="14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>
      <c r="A25" s="21" t="s">
        <v>57</v>
      </c>
      <c r="B25" s="11" t="str">
        <f t="shared" ref="B25:V25" si="9">B$2</f>
        <v>Current</v>
      </c>
      <c r="C25" s="11" t="str">
        <f t="shared" si="9"/>
        <v>FY2025</v>
      </c>
      <c r="D25" s="11" t="str">
        <f t="shared" si="9"/>
        <v>9M2025</v>
      </c>
      <c r="E25" s="11" t="str">
        <f t="shared" si="9"/>
        <v>1H2025</v>
      </c>
      <c r="F25" s="11" t="str">
        <f t="shared" si="9"/>
        <v>1Q2025</v>
      </c>
      <c r="G25" s="11" t="str">
        <f t="shared" si="9"/>
        <v>FY2024</v>
      </c>
      <c r="H25" s="11" t="str">
        <f t="shared" si="9"/>
        <v>9M2024</v>
      </c>
      <c r="I25" s="11" t="str">
        <f t="shared" si="9"/>
        <v>1H2024</v>
      </c>
      <c r="J25" s="11" t="str">
        <f t="shared" si="9"/>
        <v>1Q2024</v>
      </c>
      <c r="K25" s="11" t="str">
        <f t="shared" si="9"/>
        <v>FY2023</v>
      </c>
      <c r="L25" s="11" t="str">
        <f t="shared" si="9"/>
        <v>9M2023</v>
      </c>
      <c r="M25" s="11" t="str">
        <f t="shared" si="9"/>
        <v>1H2023</v>
      </c>
      <c r="N25" s="11" t="str">
        <f t="shared" si="9"/>
        <v>1Q2023</v>
      </c>
      <c r="O25" s="11" t="str">
        <f t="shared" si="9"/>
        <v>FY2022</v>
      </c>
      <c r="P25" s="11" t="str">
        <f t="shared" si="9"/>
        <v>9M2022</v>
      </c>
      <c r="Q25" s="11" t="str">
        <f t="shared" si="9"/>
        <v>1H2022</v>
      </c>
      <c r="R25" s="11" t="str">
        <f t="shared" si="9"/>
        <v>1Q2022</v>
      </c>
      <c r="S25" s="11" t="str">
        <f t="shared" si="9"/>
        <v>FY2021</v>
      </c>
      <c r="T25" s="11" t="str">
        <f t="shared" si="9"/>
        <v>9M2021</v>
      </c>
      <c r="U25" s="11" t="str">
        <f t="shared" si="9"/>
        <v>1H2021</v>
      </c>
      <c r="V25" s="11" t="str">
        <f t="shared" si="9"/>
        <v>1Q2021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>
      <c r="A26" s="4" t="s">
        <v>58</v>
      </c>
      <c r="B26" s="14"/>
      <c r="C26" s="24">
        <v>1.360801231E12</v>
      </c>
      <c r="D26" s="24">
        <v>1.34215948E12</v>
      </c>
      <c r="E26" s="24">
        <v>1.265709415E12</v>
      </c>
      <c r="F26" s="24">
        <v>1.328399319E12</v>
      </c>
      <c r="G26" s="24">
        <v>1.277228391E12</v>
      </c>
      <c r="H26" s="24">
        <v>1.257666157E12</v>
      </c>
      <c r="I26" s="24">
        <v>1.190106935E12</v>
      </c>
      <c r="J26" s="24">
        <v>1.261254651E12</v>
      </c>
      <c r="K26" s="24">
        <v>1.222866854E12</v>
      </c>
      <c r="L26" s="24">
        <v>1.213408389E12</v>
      </c>
      <c r="M26" s="24">
        <v>1.240883954E12</v>
      </c>
      <c r="N26" s="24">
        <v>1.204304183E12</v>
      </c>
      <c r="O26" s="24">
        <v>1.161970187E12</v>
      </c>
      <c r="P26" s="24">
        <v>1.131848849E12</v>
      </c>
      <c r="Q26" s="24">
        <v>1.110408454E12</v>
      </c>
      <c r="R26" s="24">
        <v>1.100256869E12</v>
      </c>
      <c r="S26" s="24">
        <v>1.064992645E12</v>
      </c>
      <c r="T26" s="24">
        <v>1.021532826E12</v>
      </c>
      <c r="U26" s="24">
        <v>1.019768905E12</v>
      </c>
      <c r="V26" s="24">
        <v>1.022827759E12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>
      <c r="A27" s="14"/>
      <c r="B27" s="14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>
      <c r="A28" s="28" t="s">
        <v>59</v>
      </c>
      <c r="B28" s="29" t="str">
        <f t="shared" ref="B28:V28" si="10">B$2</f>
        <v>Current</v>
      </c>
      <c r="C28" s="11" t="str">
        <f t="shared" si="10"/>
        <v>FY2025</v>
      </c>
      <c r="D28" s="11" t="str">
        <f t="shared" si="10"/>
        <v>9M2025</v>
      </c>
      <c r="E28" s="11" t="str">
        <f t="shared" si="10"/>
        <v>1H2025</v>
      </c>
      <c r="F28" s="11" t="str">
        <f t="shared" si="10"/>
        <v>1Q2025</v>
      </c>
      <c r="G28" s="11" t="str">
        <f t="shared" si="10"/>
        <v>FY2024</v>
      </c>
      <c r="H28" s="11" t="str">
        <f t="shared" si="10"/>
        <v>9M2024</v>
      </c>
      <c r="I28" s="11" t="str">
        <f t="shared" si="10"/>
        <v>1H2024</v>
      </c>
      <c r="J28" s="11" t="str">
        <f t="shared" si="10"/>
        <v>1Q2024</v>
      </c>
      <c r="K28" s="11" t="str">
        <f t="shared" si="10"/>
        <v>FY2023</v>
      </c>
      <c r="L28" s="11" t="str">
        <f t="shared" si="10"/>
        <v>9M2023</v>
      </c>
      <c r="M28" s="11" t="str">
        <f t="shared" si="10"/>
        <v>1H2023</v>
      </c>
      <c r="N28" s="11" t="str">
        <f t="shared" si="10"/>
        <v>1Q2023</v>
      </c>
      <c r="O28" s="11" t="str">
        <f t="shared" si="10"/>
        <v>FY2022</v>
      </c>
      <c r="P28" s="11" t="str">
        <f t="shared" si="10"/>
        <v>9M2022</v>
      </c>
      <c r="Q28" s="11" t="str">
        <f t="shared" si="10"/>
        <v>1H2022</v>
      </c>
      <c r="R28" s="11" t="str">
        <f t="shared" si="10"/>
        <v>1Q2022</v>
      </c>
      <c r="S28" s="11" t="str">
        <f t="shared" si="10"/>
        <v>FY2021</v>
      </c>
      <c r="T28" s="11" t="str">
        <f t="shared" si="10"/>
        <v>9M2021</v>
      </c>
      <c r="U28" s="11" t="str">
        <f t="shared" si="10"/>
        <v>1H2021</v>
      </c>
      <c r="V28" s="11" t="str">
        <f t="shared" si="10"/>
        <v>1Q2021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>
      <c r="A29" s="30" t="s">
        <v>60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>
      <c r="A30" s="23" t="s">
        <v>61</v>
      </c>
      <c r="B30" s="14"/>
      <c r="C30" s="6">
        <f t="shared" ref="C30:V30" si="11">C$19*C$1/C$23</f>
        <v>36.42019007</v>
      </c>
      <c r="D30" s="6">
        <f t="shared" si="11"/>
        <v>42.04057892</v>
      </c>
      <c r="E30" s="6">
        <f t="shared" si="11"/>
        <v>34.46922706</v>
      </c>
      <c r="F30" s="6">
        <f t="shared" si="11"/>
        <v>28.14</v>
      </c>
      <c r="G30" s="6">
        <f t="shared" si="11"/>
        <v>35.31214019</v>
      </c>
      <c r="H30" s="6">
        <f t="shared" si="11"/>
        <v>37.02562699</v>
      </c>
      <c r="I30" s="6">
        <f t="shared" si="11"/>
        <v>23.26308255</v>
      </c>
      <c r="J30" s="6">
        <f t="shared" si="11"/>
        <v>21.11</v>
      </c>
      <c r="K30" s="6">
        <f t="shared" si="11"/>
        <v>26.90003572</v>
      </c>
      <c r="L30" s="6">
        <f t="shared" si="11"/>
        <v>34.65989789</v>
      </c>
      <c r="M30" s="6">
        <f t="shared" si="11"/>
        <v>20.11983439</v>
      </c>
      <c r="N30" s="6">
        <f t="shared" si="11"/>
        <v>23.28000001</v>
      </c>
      <c r="O30" s="6">
        <f t="shared" si="11"/>
        <v>29.05454949</v>
      </c>
      <c r="P30" s="6">
        <f t="shared" si="11"/>
        <v>34.90994632</v>
      </c>
      <c r="Q30" s="6">
        <f t="shared" si="11"/>
        <v>5.583657646</v>
      </c>
      <c r="R30" s="6">
        <f t="shared" si="11"/>
        <v>19.39000001</v>
      </c>
      <c r="S30" s="6">
        <f t="shared" si="11"/>
        <v>23.88457337</v>
      </c>
      <c r="T30" s="6">
        <f t="shared" si="11"/>
        <v>0.971013715</v>
      </c>
      <c r="U30" s="6">
        <f t="shared" si="11"/>
        <v>-1.682029588</v>
      </c>
      <c r="V30" s="6">
        <f t="shared" si="11"/>
        <v>9.838218527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>
      <c r="A31" s="23" t="s">
        <v>62</v>
      </c>
      <c r="B31" s="14"/>
      <c r="C31" s="6">
        <f t="shared" ref="C31:V31" si="12">IF(LEFT(C$2,2)="1Q",C$30,IF(LEFT(C$2,2)="1H",SUM(C$30:D$30),IF(LEFT(C$2,2)="9M",SUM(C$30:E$30),SUM(C$30:F$30))))</f>
        <v>141.069996</v>
      </c>
      <c r="D31" s="6">
        <f t="shared" si="12"/>
        <v>104.649806</v>
      </c>
      <c r="E31" s="6">
        <f t="shared" si="12"/>
        <v>62.60922706</v>
      </c>
      <c r="F31" s="6">
        <f t="shared" si="12"/>
        <v>28.14</v>
      </c>
      <c r="G31" s="6">
        <f t="shared" si="12"/>
        <v>116.7108497</v>
      </c>
      <c r="H31" s="6">
        <f t="shared" si="12"/>
        <v>81.39870954</v>
      </c>
      <c r="I31" s="6">
        <f t="shared" si="12"/>
        <v>44.37308255</v>
      </c>
      <c r="J31" s="6">
        <f t="shared" si="12"/>
        <v>21.11</v>
      </c>
      <c r="K31" s="6">
        <f t="shared" si="12"/>
        <v>104.959768</v>
      </c>
      <c r="L31" s="6">
        <f t="shared" si="12"/>
        <v>78.05973229</v>
      </c>
      <c r="M31" s="6">
        <f t="shared" si="12"/>
        <v>43.3998344</v>
      </c>
      <c r="N31" s="6">
        <f t="shared" si="12"/>
        <v>23.28000001</v>
      </c>
      <c r="O31" s="6">
        <f t="shared" si="12"/>
        <v>88.93815346</v>
      </c>
      <c r="P31" s="6">
        <f t="shared" si="12"/>
        <v>59.88360397</v>
      </c>
      <c r="Q31" s="6">
        <f t="shared" si="12"/>
        <v>24.97365765</v>
      </c>
      <c r="R31" s="6">
        <f t="shared" si="12"/>
        <v>19.39000001</v>
      </c>
      <c r="S31" s="6">
        <f t="shared" si="12"/>
        <v>33.01177603</v>
      </c>
      <c r="T31" s="6">
        <f t="shared" si="12"/>
        <v>9.127202655</v>
      </c>
      <c r="U31" s="6">
        <f t="shared" si="12"/>
        <v>8.15618894</v>
      </c>
      <c r="V31" s="6">
        <f t="shared" si="12"/>
        <v>9.838218527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>
      <c r="A32" s="14" t="s">
        <v>63</v>
      </c>
      <c r="B32" s="14"/>
      <c r="C32" s="6">
        <f t="shared" ref="C32:V32" si="13">C$26*C$1/C$23</f>
        <v>748.4695834</v>
      </c>
      <c r="D32" s="6">
        <f t="shared" si="13"/>
        <v>738.0655797</v>
      </c>
      <c r="E32" s="6">
        <f t="shared" si="13"/>
        <v>696.0909178</v>
      </c>
      <c r="F32" s="6">
        <f t="shared" si="13"/>
        <v>730.5155154</v>
      </c>
      <c r="G32" s="6">
        <f t="shared" si="13"/>
        <v>702.6057561</v>
      </c>
      <c r="H32" s="6">
        <f t="shared" si="13"/>
        <v>691.5391833</v>
      </c>
      <c r="I32" s="6">
        <f t="shared" si="13"/>
        <v>654.5070486</v>
      </c>
      <c r="J32" s="6">
        <f t="shared" si="13"/>
        <v>693.5820174</v>
      </c>
      <c r="K32" s="6">
        <f t="shared" si="13"/>
        <v>672.5389394</v>
      </c>
      <c r="L32" s="6">
        <f t="shared" si="13"/>
        <v>667.2957067</v>
      </c>
      <c r="M32" s="6">
        <f t="shared" si="13"/>
        <v>682.4493127</v>
      </c>
      <c r="N32" s="6">
        <f t="shared" si="13"/>
        <v>662.262107</v>
      </c>
      <c r="O32" s="6">
        <f t="shared" si="13"/>
        <v>639.0498713</v>
      </c>
      <c r="P32" s="6">
        <f t="shared" si="13"/>
        <v>622.4473745</v>
      </c>
      <c r="Q32" s="6">
        <f t="shared" si="13"/>
        <v>610.7559218</v>
      </c>
      <c r="R32" s="6">
        <f t="shared" si="13"/>
        <v>604.9751923</v>
      </c>
      <c r="S32" s="6">
        <f t="shared" si="13"/>
        <v>585.2968456</v>
      </c>
      <c r="T32" s="6">
        <f t="shared" si="13"/>
        <v>562.3391422</v>
      </c>
      <c r="U32" s="6">
        <f t="shared" si="13"/>
        <v>560.7595102</v>
      </c>
      <c r="V32" s="6">
        <f t="shared" si="13"/>
        <v>562.4415398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>
      <c r="A33" s="14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>
      <c r="A34" s="30" t="s">
        <v>64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>
      <c r="A35" s="14" t="s">
        <v>65</v>
      </c>
      <c r="B35" s="6">
        <f>$B$3/SUM(OFFSET($B$30,0,1,1,4))</f>
        <v>9.463387236</v>
      </c>
      <c r="C35" s="6">
        <f t="shared" ref="C35:V35" si="14">C$3/SUM(C$30:F$30)</f>
        <v>9.817821215</v>
      </c>
      <c r="D35" s="6">
        <f t="shared" si="14"/>
        <v>7.60921114</v>
      </c>
      <c r="E35" s="6">
        <f t="shared" si="14"/>
        <v>7.484420129</v>
      </c>
      <c r="F35" s="6">
        <f t="shared" si="14"/>
        <v>6.263089365</v>
      </c>
      <c r="G35" s="6">
        <f t="shared" si="14"/>
        <v>6.040569507</v>
      </c>
      <c r="H35" s="6">
        <f t="shared" si="14"/>
        <v>6.325096365</v>
      </c>
      <c r="I35" s="6">
        <f t="shared" si="14"/>
        <v>6.324751473</v>
      </c>
      <c r="J35" s="6">
        <f t="shared" si="14"/>
        <v>6.712730395</v>
      </c>
      <c r="K35" s="6">
        <f t="shared" si="14"/>
        <v>6.812133959</v>
      </c>
      <c r="L35" s="6">
        <f t="shared" si="14"/>
        <v>6.628434493</v>
      </c>
      <c r="M35" s="6">
        <f t="shared" si="14"/>
        <v>7.12527148</v>
      </c>
      <c r="N35" s="6">
        <f t="shared" si="14"/>
        <v>6.73287119</v>
      </c>
      <c r="O35" s="6">
        <f t="shared" si="14"/>
        <v>6.408947992</v>
      </c>
      <c r="P35" s="6">
        <f t="shared" si="14"/>
        <v>6.028542294</v>
      </c>
      <c r="Q35" s="6">
        <f t="shared" si="14"/>
        <v>12.34214974</v>
      </c>
      <c r="R35" s="6">
        <f t="shared" si="14"/>
        <v>12.92185222</v>
      </c>
      <c r="S35" s="6">
        <f t="shared" si="14"/>
        <v>15.60049358</v>
      </c>
      <c r="T35" s="6">
        <f t="shared" si="14"/>
        <v>65.18974351</v>
      </c>
      <c r="U35" s="6">
        <f t="shared" si="14"/>
        <v>60.07707811</v>
      </c>
      <c r="V35" s="6">
        <f t="shared" si="14"/>
        <v>60.47842893</v>
      </c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>
      <c r="A36" s="23" t="s">
        <v>66</v>
      </c>
      <c r="B36" s="6">
        <f>$B$3/OFFSET($B$32,0,1)</f>
        <v>1.783639616</v>
      </c>
      <c r="C36" s="6">
        <f t="shared" ref="C36:V36" si="15">C$3/C$32</f>
        <v>1.850442598</v>
      </c>
      <c r="D36" s="6">
        <f t="shared" si="15"/>
        <v>1.442961207</v>
      </c>
      <c r="E36" s="6">
        <f t="shared" si="15"/>
        <v>1.450959888</v>
      </c>
      <c r="F36" s="6">
        <f t="shared" si="15"/>
        <v>1.060894647</v>
      </c>
      <c r="G36" s="6">
        <f t="shared" si="15"/>
        <v>1.003407663</v>
      </c>
      <c r="H36" s="6">
        <f t="shared" si="15"/>
        <v>0.9905440162</v>
      </c>
      <c r="I36" s="6">
        <f t="shared" si="15"/>
        <v>1.023671176</v>
      </c>
      <c r="J36" s="6">
        <f t="shared" si="15"/>
        <v>0.9948354812</v>
      </c>
      <c r="K36" s="6">
        <f t="shared" si="15"/>
        <v>1.063135468</v>
      </c>
      <c r="L36" s="6">
        <f t="shared" si="15"/>
        <v>1.063996056</v>
      </c>
      <c r="M36" s="6">
        <f t="shared" si="15"/>
        <v>1.120962372</v>
      </c>
      <c r="N36" s="6">
        <f t="shared" si="15"/>
        <v>0.9437351064</v>
      </c>
      <c r="O36" s="6">
        <f t="shared" si="15"/>
        <v>0.8919491664</v>
      </c>
      <c r="P36" s="6">
        <f t="shared" si="15"/>
        <v>0.8113135675</v>
      </c>
      <c r="Q36" s="6">
        <f t="shared" si="15"/>
        <v>1.006948894</v>
      </c>
      <c r="R36" s="6">
        <f t="shared" si="15"/>
        <v>0.9091281874</v>
      </c>
      <c r="S36" s="6">
        <f t="shared" si="15"/>
        <v>0.8798953965</v>
      </c>
      <c r="T36" s="6">
        <f t="shared" si="15"/>
        <v>1.058080356</v>
      </c>
      <c r="U36" s="6">
        <f t="shared" si="15"/>
        <v>0.8738148727</v>
      </c>
      <c r="V36" s="6">
        <f t="shared" si="15"/>
        <v>1.057887723</v>
      </c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>
      <c r="A37" s="23" t="s">
        <v>67</v>
      </c>
      <c r="B37" s="6">
        <f>B$35/OFFSET($B43,0,1)/100</f>
        <v>0.2807569039</v>
      </c>
      <c r="C37" s="6">
        <f t="shared" ref="C37:V37" si="16">C$35/C$43/100</f>
        <v>0.2912721437</v>
      </c>
      <c r="D37" s="6">
        <f t="shared" si="16"/>
        <v>0.1047563525</v>
      </c>
      <c r="E37" s="6">
        <f t="shared" si="16"/>
        <v>0.09941959156</v>
      </c>
      <c r="F37" s="6">
        <f t="shared" si="16"/>
        <v>0.09499912276</v>
      </c>
      <c r="G37" s="6" t="str">
        <f t="shared" si="16"/>
        <v>#DIV/0!</v>
      </c>
      <c r="H37" s="6" t="str">
        <f t="shared" si="16"/>
        <v>#DIV/0!</v>
      </c>
      <c r="I37" s="6" t="str">
        <f t="shared" si="16"/>
        <v>#DIV/0!</v>
      </c>
      <c r="J37" s="6" t="str">
        <f t="shared" si="16"/>
        <v>#DIV/0!</v>
      </c>
      <c r="K37" s="6" t="str">
        <f t="shared" si="16"/>
        <v>#DIV/0!</v>
      </c>
      <c r="L37" s="6" t="str">
        <f t="shared" si="16"/>
        <v>#DIV/0!</v>
      </c>
      <c r="M37" s="6" t="str">
        <f t="shared" si="16"/>
        <v>#DIV/0!</v>
      </c>
      <c r="N37" s="6" t="str">
        <f t="shared" si="16"/>
        <v>#DIV/0!</v>
      </c>
      <c r="O37" s="6" t="str">
        <f t="shared" si="16"/>
        <v>#DIV/0!</v>
      </c>
      <c r="P37" s="6" t="str">
        <f t="shared" si="16"/>
        <v>#DIV/0!</v>
      </c>
      <c r="Q37" s="6" t="str">
        <f t="shared" si="16"/>
        <v>#DIV/0!</v>
      </c>
      <c r="R37" s="6" t="str">
        <f t="shared" si="16"/>
        <v>#DIV/0!</v>
      </c>
      <c r="S37" s="6" t="str">
        <f t="shared" si="16"/>
        <v>#DIV/0!</v>
      </c>
      <c r="T37" s="6" t="str">
        <f t="shared" si="16"/>
        <v>#DIV/0!</v>
      </c>
      <c r="U37" s="6" t="str">
        <f t="shared" si="16"/>
        <v>#DIV/0!</v>
      </c>
      <c r="V37" s="6" t="str">
        <f t="shared" si="16"/>
        <v>#DIV/0!</v>
      </c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>
      <c r="A39" s="30" t="s">
        <v>68</v>
      </c>
      <c r="B39" s="31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>
      <c r="A40" s="14" t="s">
        <v>69</v>
      </c>
      <c r="B40" s="31"/>
      <c r="C40" s="32">
        <f t="shared" ref="C40:V40" si="17">C$20/ABS(C$16)</f>
        <v>0.2758318694</v>
      </c>
      <c r="D40" s="32">
        <f t="shared" si="17"/>
        <v>0.2882235167</v>
      </c>
      <c r="E40" s="32">
        <f t="shared" si="17"/>
        <v>0.2739662248</v>
      </c>
      <c r="F40" s="32">
        <f t="shared" si="17"/>
        <v>0.2517363925</v>
      </c>
      <c r="G40" s="32">
        <f t="shared" si="17"/>
        <v>0.2573578688</v>
      </c>
      <c r="H40" s="32">
        <f t="shared" si="17"/>
        <v>0.252677036</v>
      </c>
      <c r="I40" s="32">
        <f t="shared" si="17"/>
        <v>0.2239695755</v>
      </c>
      <c r="J40" s="32">
        <f t="shared" si="17"/>
        <v>0.2185622505</v>
      </c>
      <c r="K40" s="32">
        <f t="shared" si="17"/>
        <v>0.2595940718</v>
      </c>
      <c r="L40" s="32">
        <f t="shared" si="17"/>
        <v>0.2589433505</v>
      </c>
      <c r="M40" s="32">
        <f t="shared" si="17"/>
        <v>0.2150573382</v>
      </c>
      <c r="N40" s="32">
        <f t="shared" si="17"/>
        <v>0.2214680047</v>
      </c>
      <c r="O40" s="32">
        <f t="shared" si="17"/>
        <v>0.2225856306</v>
      </c>
      <c r="P40" s="32">
        <f t="shared" si="17"/>
        <v>0.2142178997</v>
      </c>
      <c r="Q40" s="32">
        <f t="shared" si="17"/>
        <v>0.1502160562</v>
      </c>
      <c r="R40" s="32">
        <f t="shared" si="17"/>
        <v>0.2350225557</v>
      </c>
      <c r="S40" s="32">
        <f t="shared" si="17"/>
        <v>0.116199459</v>
      </c>
      <c r="T40" s="32">
        <f t="shared" si="17"/>
        <v>0.04772190832</v>
      </c>
      <c r="U40" s="32">
        <f t="shared" si="17"/>
        <v>0.06358080353</v>
      </c>
      <c r="V40" s="32">
        <f t="shared" si="17"/>
        <v>0.149188685</v>
      </c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</row>
    <row r="41">
      <c r="A41" s="14"/>
      <c r="B41" s="31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</row>
    <row r="42">
      <c r="A42" s="21" t="s">
        <v>70</v>
      </c>
      <c r="B42" s="29" t="str">
        <f t="shared" ref="B42:V42" si="18">B$2</f>
        <v>Current</v>
      </c>
      <c r="C42" s="11" t="str">
        <f t="shared" si="18"/>
        <v>FY2025</v>
      </c>
      <c r="D42" s="11" t="str">
        <f t="shared" si="18"/>
        <v>9M2025</v>
      </c>
      <c r="E42" s="11" t="str">
        <f t="shared" si="18"/>
        <v>1H2025</v>
      </c>
      <c r="F42" s="11" t="str">
        <f t="shared" si="18"/>
        <v>1Q2025</v>
      </c>
      <c r="G42" s="11" t="str">
        <f t="shared" si="18"/>
        <v>FY2024</v>
      </c>
      <c r="H42" s="11" t="str">
        <f t="shared" si="18"/>
        <v>9M2024</v>
      </c>
      <c r="I42" s="11" t="str">
        <f t="shared" si="18"/>
        <v>1H2024</v>
      </c>
      <c r="J42" s="11" t="str">
        <f t="shared" si="18"/>
        <v>1Q2024</v>
      </c>
      <c r="K42" s="11" t="str">
        <f t="shared" si="18"/>
        <v>FY2023</v>
      </c>
      <c r="L42" s="11" t="str">
        <f t="shared" si="18"/>
        <v>9M2023</v>
      </c>
      <c r="M42" s="11" t="str">
        <f t="shared" si="18"/>
        <v>1H2023</v>
      </c>
      <c r="N42" s="11" t="str">
        <f t="shared" si="18"/>
        <v>1Q2023</v>
      </c>
      <c r="O42" s="11" t="str">
        <f t="shared" si="18"/>
        <v>FY2022</v>
      </c>
      <c r="P42" s="11" t="str">
        <f t="shared" si="18"/>
        <v>9M2022</v>
      </c>
      <c r="Q42" s="11" t="str">
        <f t="shared" si="18"/>
        <v>1H2022</v>
      </c>
      <c r="R42" s="11" t="str">
        <f t="shared" si="18"/>
        <v>1Q2022</v>
      </c>
      <c r="S42" s="11" t="str">
        <f t="shared" si="18"/>
        <v>FY2021</v>
      </c>
      <c r="T42" s="11" t="str">
        <f t="shared" si="18"/>
        <v>9M2021</v>
      </c>
      <c r="U42" s="11" t="str">
        <f t="shared" si="18"/>
        <v>1H2021</v>
      </c>
      <c r="V42" s="11" t="str">
        <f t="shared" si="18"/>
        <v>1Q2021</v>
      </c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>
      <c r="A43" s="23" t="s">
        <v>71</v>
      </c>
      <c r="B43" s="17"/>
      <c r="C43" s="8">
        <f t="shared" ref="C43:V43" si="19">(SUM(C$30:F$30)/SUM(S$30:V$30))^(1/5)-1</f>
        <v>0.3370669467</v>
      </c>
      <c r="D43" s="8">
        <f t="shared" si="19"/>
        <v>0.7263722873</v>
      </c>
      <c r="E43" s="8">
        <f t="shared" si="19"/>
        <v>0.7528113937</v>
      </c>
      <c r="F43" s="8">
        <f t="shared" si="19"/>
        <v>0.6592786526</v>
      </c>
      <c r="G43" s="8" t="str">
        <f t="shared" si="19"/>
        <v>#DIV/0!</v>
      </c>
      <c r="H43" s="8" t="str">
        <f t="shared" si="19"/>
        <v>#DIV/0!</v>
      </c>
      <c r="I43" s="8" t="str">
        <f t="shared" si="19"/>
        <v>#DIV/0!</v>
      </c>
      <c r="J43" s="8" t="str">
        <f t="shared" si="19"/>
        <v>#DIV/0!</v>
      </c>
      <c r="K43" s="8" t="str">
        <f t="shared" si="19"/>
        <v>#DIV/0!</v>
      </c>
      <c r="L43" s="8" t="str">
        <f t="shared" si="19"/>
        <v>#DIV/0!</v>
      </c>
      <c r="M43" s="8" t="str">
        <f t="shared" si="19"/>
        <v>#DIV/0!</v>
      </c>
      <c r="N43" s="8" t="str">
        <f t="shared" si="19"/>
        <v>#DIV/0!</v>
      </c>
      <c r="O43" s="8" t="str">
        <f t="shared" si="19"/>
        <v>#DIV/0!</v>
      </c>
      <c r="P43" s="8" t="str">
        <f t="shared" si="19"/>
        <v>#DIV/0!</v>
      </c>
      <c r="Q43" s="8" t="str">
        <f t="shared" si="19"/>
        <v>#DIV/0!</v>
      </c>
      <c r="R43" s="8" t="str">
        <f t="shared" si="19"/>
        <v>#DIV/0!</v>
      </c>
      <c r="S43" s="8" t="str">
        <f t="shared" si="19"/>
        <v>#DIV/0!</v>
      </c>
      <c r="T43" s="8" t="str">
        <f t="shared" si="19"/>
        <v>#DIV/0!</v>
      </c>
      <c r="U43" s="8" t="str">
        <f t="shared" si="19"/>
        <v>#DIV/0!</v>
      </c>
      <c r="V43" s="8" t="str">
        <f t="shared" si="19"/>
        <v>#DIV/0!</v>
      </c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</row>
    <row r="44">
      <c r="A44" s="23"/>
      <c r="B44" s="1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</row>
    <row r="45">
      <c r="A45" s="23" t="s">
        <v>72</v>
      </c>
      <c r="B45" s="6">
        <f t="shared" ref="B45:B46" si="21">OFFSET($B45,0,1)</f>
        <v>33.70669467</v>
      </c>
      <c r="C45" s="6">
        <f t="shared" ref="C45:V45" si="20">C$43*100</f>
        <v>33.70669467</v>
      </c>
      <c r="D45" s="6">
        <f t="shared" si="20"/>
        <v>72.63722873</v>
      </c>
      <c r="E45" s="6">
        <f t="shared" si="20"/>
        <v>75.28113937</v>
      </c>
      <c r="F45" s="6">
        <f t="shared" si="20"/>
        <v>65.92786526</v>
      </c>
      <c r="G45" s="6" t="str">
        <f t="shared" si="20"/>
        <v>#DIV/0!</v>
      </c>
      <c r="H45" s="6" t="str">
        <f t="shared" si="20"/>
        <v>#DIV/0!</v>
      </c>
      <c r="I45" s="6" t="str">
        <f t="shared" si="20"/>
        <v>#DIV/0!</v>
      </c>
      <c r="J45" s="6" t="str">
        <f t="shared" si="20"/>
        <v>#DIV/0!</v>
      </c>
      <c r="K45" s="6" t="str">
        <f t="shared" si="20"/>
        <v>#DIV/0!</v>
      </c>
      <c r="L45" s="6" t="str">
        <f t="shared" si="20"/>
        <v>#DIV/0!</v>
      </c>
      <c r="M45" s="6" t="str">
        <f t="shared" si="20"/>
        <v>#DIV/0!</v>
      </c>
      <c r="N45" s="6" t="str">
        <f t="shared" si="20"/>
        <v>#DIV/0!</v>
      </c>
      <c r="O45" s="6" t="str">
        <f t="shared" si="20"/>
        <v>#DIV/0!</v>
      </c>
      <c r="P45" s="6" t="str">
        <f t="shared" si="20"/>
        <v>#DIV/0!</v>
      </c>
      <c r="Q45" s="6" t="str">
        <f t="shared" si="20"/>
        <v>#DIV/0!</v>
      </c>
      <c r="R45" s="6" t="str">
        <f t="shared" si="20"/>
        <v>#DIV/0!</v>
      </c>
      <c r="S45" s="6" t="str">
        <f t="shared" si="20"/>
        <v>#DIV/0!</v>
      </c>
      <c r="T45" s="6" t="str">
        <f t="shared" si="20"/>
        <v>#DIV/0!</v>
      </c>
      <c r="U45" s="6" t="str">
        <f t="shared" si="20"/>
        <v>#DIV/0!</v>
      </c>
      <c r="V45" s="6" t="str">
        <f t="shared" si="20"/>
        <v>#DIV/0!</v>
      </c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</row>
    <row r="46">
      <c r="A46" s="23" t="s">
        <v>73</v>
      </c>
      <c r="B46" s="33">
        <f t="shared" si="21"/>
        <v>4755.003284</v>
      </c>
      <c r="C46" s="34">
        <f t="shared" ref="C46:V46" si="22">C$45*SUM(C$30:F$30)</f>
        <v>4755.003284</v>
      </c>
      <c r="D46" s="34">
        <f t="shared" si="22"/>
        <v>10166.4479</v>
      </c>
      <c r="E46" s="34">
        <f t="shared" si="22"/>
        <v>10158.96348</v>
      </c>
      <c r="F46" s="34">
        <f t="shared" si="22"/>
        <v>8157.970068</v>
      </c>
      <c r="G46" s="34" t="str">
        <f t="shared" si="22"/>
        <v>#DIV/0!</v>
      </c>
      <c r="H46" s="34" t="str">
        <f t="shared" si="22"/>
        <v>#DIV/0!</v>
      </c>
      <c r="I46" s="34" t="str">
        <f t="shared" si="22"/>
        <v>#DIV/0!</v>
      </c>
      <c r="J46" s="34" t="str">
        <f t="shared" si="22"/>
        <v>#DIV/0!</v>
      </c>
      <c r="K46" s="34" t="str">
        <f t="shared" si="22"/>
        <v>#DIV/0!</v>
      </c>
      <c r="L46" s="34" t="str">
        <f t="shared" si="22"/>
        <v>#DIV/0!</v>
      </c>
      <c r="M46" s="34" t="str">
        <f t="shared" si="22"/>
        <v>#DIV/0!</v>
      </c>
      <c r="N46" s="34" t="str">
        <f t="shared" si="22"/>
        <v>#DIV/0!</v>
      </c>
      <c r="O46" s="34" t="str">
        <f t="shared" si="22"/>
        <v>#DIV/0!</v>
      </c>
      <c r="P46" s="34" t="str">
        <f t="shared" si="22"/>
        <v>#DIV/0!</v>
      </c>
      <c r="Q46" s="34" t="str">
        <f t="shared" si="22"/>
        <v>#DIV/0!</v>
      </c>
      <c r="R46" s="34" t="str">
        <f t="shared" si="22"/>
        <v>#DIV/0!</v>
      </c>
      <c r="S46" s="34" t="str">
        <f t="shared" si="22"/>
        <v>#DIV/0!</v>
      </c>
      <c r="T46" s="34" t="str">
        <f t="shared" si="22"/>
        <v>#DIV/0!</v>
      </c>
      <c r="U46" s="34" t="str">
        <f t="shared" si="22"/>
        <v>#DIV/0!</v>
      </c>
      <c r="V46" s="34" t="str">
        <f t="shared" si="22"/>
        <v>#DIV/0!</v>
      </c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</row>
    <row r="47">
      <c r="A47" s="23" t="s">
        <v>74</v>
      </c>
      <c r="B47" s="8">
        <f t="shared" ref="B47:V47" si="23">(B$46-B$3)/ABS(B$3)</f>
        <v>2.561800213</v>
      </c>
      <c r="C47" s="8">
        <f t="shared" si="23"/>
        <v>2.433215367</v>
      </c>
      <c r="D47" s="8">
        <f t="shared" si="23"/>
        <v>8.545960467</v>
      </c>
      <c r="E47" s="8">
        <f t="shared" si="23"/>
        <v>9.058379684</v>
      </c>
      <c r="F47" s="8">
        <f t="shared" si="23"/>
        <v>9.526412991</v>
      </c>
      <c r="G47" s="8" t="str">
        <f t="shared" si="23"/>
        <v>#DIV/0!</v>
      </c>
      <c r="H47" s="8" t="str">
        <f t="shared" si="23"/>
        <v>#DIV/0!</v>
      </c>
      <c r="I47" s="8" t="str">
        <f t="shared" si="23"/>
        <v>#DIV/0!</v>
      </c>
      <c r="J47" s="8" t="str">
        <f t="shared" si="23"/>
        <v>#DIV/0!</v>
      </c>
      <c r="K47" s="8" t="str">
        <f t="shared" si="23"/>
        <v>#DIV/0!</v>
      </c>
      <c r="L47" s="8" t="str">
        <f t="shared" si="23"/>
        <v>#DIV/0!</v>
      </c>
      <c r="M47" s="8" t="str">
        <f t="shared" si="23"/>
        <v>#DIV/0!</v>
      </c>
      <c r="N47" s="8" t="str">
        <f t="shared" si="23"/>
        <v>#DIV/0!</v>
      </c>
      <c r="O47" s="8" t="str">
        <f t="shared" si="23"/>
        <v>#DIV/0!</v>
      </c>
      <c r="P47" s="8" t="str">
        <f t="shared" si="23"/>
        <v>#DIV/0!</v>
      </c>
      <c r="Q47" s="8" t="str">
        <f t="shared" si="23"/>
        <v>#DIV/0!</v>
      </c>
      <c r="R47" s="8" t="str">
        <f t="shared" si="23"/>
        <v>#DIV/0!</v>
      </c>
      <c r="S47" s="8" t="str">
        <f t="shared" si="23"/>
        <v>#DIV/0!</v>
      </c>
      <c r="T47" s="8" t="str">
        <f t="shared" si="23"/>
        <v>#DIV/0!</v>
      </c>
      <c r="U47" s="8" t="str">
        <f t="shared" si="23"/>
        <v>#DIV/0!</v>
      </c>
      <c r="V47" s="8" t="str">
        <f t="shared" si="23"/>
        <v>#DIV/0!</v>
      </c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0.13"/>
    <col customWidth="1" min="2" max="22" width="19.5"/>
    <col customWidth="1" min="23" max="41" width="2.0"/>
  </cols>
  <sheetData>
    <row r="1">
      <c r="A1" s="3" t="s">
        <v>15</v>
      </c>
      <c r="B1" s="4" t="s">
        <v>16</v>
      </c>
      <c r="C1" s="7">
        <f t="array" ref="C1">IF(C$7="Local Currency",1,_xlfn.XLOOKUP(C$2,OFFSET(Dashboard!$A:$A,0,MATCH(C$7,Dashboard!$1:$1,0)-1),OFFSET(Dashboard!$A:$A,0,MATCH(C$7,Dashboard!$1:$1,0))))</f>
        <v>1</v>
      </c>
      <c r="D1" s="7">
        <f t="array" ref="D1">IF(D$7="Local Currency",1,_xlfn.XLOOKUP(D$2,OFFSET(Dashboard!$A:$A,0,MATCH(D$7,Dashboard!$1:$1,0)-1),OFFSET(Dashboard!$A:$A,0,MATCH(D$7,Dashboard!$1:$1,0))))</f>
        <v>1</v>
      </c>
      <c r="E1" s="7">
        <f t="array" ref="E1">IF(E$7="Local Currency",1,_xlfn.XLOOKUP(E$2,OFFSET(Dashboard!$A:$A,0,MATCH(E$7,Dashboard!$1:$1,0)-1),OFFSET(Dashboard!$A:$A,0,MATCH(E$7,Dashboard!$1:$1,0))))</f>
        <v>1</v>
      </c>
      <c r="F1" s="7">
        <f t="array" ref="F1">IF(F$7="Local Currency",1,_xlfn.XLOOKUP(F$2,OFFSET(Dashboard!$A:$A,0,MATCH(F$7,Dashboard!$1:$1,0)-1),OFFSET(Dashboard!$A:$A,0,MATCH(F$7,Dashboard!$1:$1,0))))</f>
        <v>1</v>
      </c>
      <c r="G1" s="7">
        <f t="array" ref="G1">IF(G$7="Local Currency",1,_xlfn.XLOOKUP(G$2,OFFSET(Dashboard!$A:$A,0,MATCH(G$7,Dashboard!$1:$1,0)-1),OFFSET(Dashboard!$A:$A,0,MATCH(G$7,Dashboard!$1:$1,0))))</f>
        <v>1</v>
      </c>
      <c r="H1" s="7">
        <f t="array" ref="H1">IF(H$7="Local Currency",1,_xlfn.XLOOKUP(H$2,OFFSET(Dashboard!$A:$A,0,MATCH(H$7,Dashboard!$1:$1,0)-1),OFFSET(Dashboard!$A:$A,0,MATCH(H$7,Dashboard!$1:$1,0))))</f>
        <v>1</v>
      </c>
      <c r="I1" s="7">
        <f t="array" ref="I1">IF(I$7="Local Currency",1,_xlfn.XLOOKUP(I$2,OFFSET(Dashboard!$A:$A,0,MATCH(I$7,Dashboard!$1:$1,0)-1),OFFSET(Dashboard!$A:$A,0,MATCH(I$7,Dashboard!$1:$1,0))))</f>
        <v>1</v>
      </c>
      <c r="J1" s="7">
        <f t="array" ref="J1">IF(J$7="Local Currency",1,_xlfn.XLOOKUP(J$2,OFFSET(Dashboard!$A:$A,0,MATCH(J$7,Dashboard!$1:$1,0)-1),OFFSET(Dashboard!$A:$A,0,MATCH(J$7,Dashboard!$1:$1,0))))</f>
        <v>1</v>
      </c>
      <c r="K1" s="7">
        <f t="array" ref="K1">IF(K$7="Local Currency",1,_xlfn.XLOOKUP(K$2,OFFSET(Dashboard!$A:$A,0,MATCH(K$7,Dashboard!$1:$1,0)-1),OFFSET(Dashboard!$A:$A,0,MATCH(K$7,Dashboard!$1:$1,0))))</f>
        <v>1</v>
      </c>
      <c r="L1" s="7">
        <f t="array" ref="L1">IF(L$7="Local Currency",1,_xlfn.XLOOKUP(L$2,OFFSET(Dashboard!$A:$A,0,MATCH(L$7,Dashboard!$1:$1,0)-1),OFFSET(Dashboard!$A:$A,0,MATCH(L$7,Dashboard!$1:$1,0))))</f>
        <v>1</v>
      </c>
      <c r="M1" s="7">
        <f t="array" ref="M1">IF(M$7="Local Currency",1,_xlfn.XLOOKUP(M$2,OFFSET(Dashboard!$A:$A,0,MATCH(M$7,Dashboard!$1:$1,0)-1),OFFSET(Dashboard!$A:$A,0,MATCH(M$7,Dashboard!$1:$1,0))))</f>
        <v>1</v>
      </c>
      <c r="N1" s="7">
        <f t="array" ref="N1">IF(N$7="Local Currency",1,_xlfn.XLOOKUP(N$2,OFFSET(Dashboard!$A:$A,0,MATCH(N$7,Dashboard!$1:$1,0)-1),OFFSET(Dashboard!$A:$A,0,MATCH(N$7,Dashboard!$1:$1,0))))</f>
        <v>1</v>
      </c>
      <c r="O1" s="7">
        <f t="array" ref="O1">IF(O$7="Local Currency",1,_xlfn.XLOOKUP(O$2,OFFSET(Dashboard!$A:$A,0,MATCH(O$7,Dashboard!$1:$1,0)-1),OFFSET(Dashboard!$A:$A,0,MATCH(O$7,Dashboard!$1:$1,0))))</f>
        <v>1</v>
      </c>
      <c r="P1" s="7">
        <f t="array" ref="P1">IF(P$7="Local Currency",1,_xlfn.XLOOKUP(P$2,OFFSET(Dashboard!$A:$A,0,MATCH(P$7,Dashboard!$1:$1,0)-1),OFFSET(Dashboard!$A:$A,0,MATCH(P$7,Dashboard!$1:$1,0))))</f>
        <v>1</v>
      </c>
      <c r="Q1" s="7">
        <f t="array" ref="Q1">IF(Q$7="Local Currency",1,_xlfn.XLOOKUP(Q$2,OFFSET(Dashboard!$A:$A,0,MATCH(Q$7,Dashboard!$1:$1,0)-1),OFFSET(Dashboard!$A:$A,0,MATCH(Q$7,Dashboard!$1:$1,0))))</f>
        <v>1</v>
      </c>
      <c r="R1" s="7">
        <f t="array" ref="R1">IF(R$7="Local Currency",1,_xlfn.XLOOKUP(R$2,OFFSET(Dashboard!$A:$A,0,MATCH(R$7,Dashboard!$1:$1,0)-1),OFFSET(Dashboard!$A:$A,0,MATCH(R$7,Dashboard!$1:$1,0))))</f>
        <v>1</v>
      </c>
      <c r="S1" s="7">
        <f t="array" ref="S1">IF(S$7="Local Currency",1,_xlfn.XLOOKUP(S$2,OFFSET(Dashboard!$A:$A,0,MATCH(S$7,Dashboard!$1:$1,0)-1),OFFSET(Dashboard!$A:$A,0,MATCH(S$7,Dashboard!$1:$1,0))))</f>
        <v>1</v>
      </c>
      <c r="T1" s="7">
        <f t="array" ref="T1">IF(T$7="Local Currency",1,_xlfn.XLOOKUP(T$2,OFFSET(Dashboard!$A:$A,0,MATCH(T$7,Dashboard!$1:$1,0)-1),OFFSET(Dashboard!$A:$A,0,MATCH(T$7,Dashboard!$1:$1,0))))</f>
        <v>1</v>
      </c>
      <c r="U1" s="7">
        <f t="array" ref="U1">IF(U$7="Local Currency",1,_xlfn.XLOOKUP(U$2,OFFSET(Dashboard!$A:$A,0,MATCH(U$7,Dashboard!$1:$1,0)-1),OFFSET(Dashboard!$A:$A,0,MATCH(U$7,Dashboard!$1:$1,0))))</f>
        <v>1</v>
      </c>
      <c r="V1" s="7">
        <f t="array" ref="V1">IF(V$7="Local Currency",1,_xlfn.XLOOKUP(V$2,OFFSET(Dashboard!$A:$A,0,MATCH(V$7,Dashboard!$1:$1,0)-1),OFFSET(Dashboard!$A:$A,0,MATCH(V$7,Dashboard!$1:$1,0))))</f>
        <v>1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10" t="s">
        <v>18</v>
      </c>
      <c r="B2" s="11" t="s">
        <v>19</v>
      </c>
      <c r="C2" s="12" t="s">
        <v>20</v>
      </c>
      <c r="D2" s="11" t="s">
        <v>21</v>
      </c>
      <c r="E2" s="11" t="s">
        <v>22</v>
      </c>
      <c r="F2" s="11" t="s">
        <v>23</v>
      </c>
      <c r="G2" s="12" t="s">
        <v>24</v>
      </c>
      <c r="H2" s="11" t="s">
        <v>25</v>
      </c>
      <c r="I2" s="11" t="s">
        <v>26</v>
      </c>
      <c r="J2" s="11" t="s">
        <v>27</v>
      </c>
      <c r="K2" s="12" t="s">
        <v>28</v>
      </c>
      <c r="L2" s="12" t="s">
        <v>29</v>
      </c>
      <c r="M2" s="12" t="s">
        <v>30</v>
      </c>
      <c r="N2" s="12" t="s">
        <v>31</v>
      </c>
      <c r="O2" s="12" t="s">
        <v>32</v>
      </c>
      <c r="P2" s="12" t="s">
        <v>33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38</v>
      </c>
      <c r="V2" s="12" t="s">
        <v>39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>
      <c r="A3" s="4" t="s">
        <v>40</v>
      </c>
      <c r="B3" s="13">
        <v>1335.0</v>
      </c>
      <c r="C3" s="13">
        <v>1385.0</v>
      </c>
      <c r="D3" s="13">
        <v>1065.0</v>
      </c>
      <c r="E3" s="13">
        <v>1010.0</v>
      </c>
      <c r="F3" s="13">
        <v>775.0</v>
      </c>
      <c r="G3" s="13">
        <v>705.0</v>
      </c>
      <c r="H3" s="13">
        <v>685.0</v>
      </c>
      <c r="I3" s="13">
        <v>670.0</v>
      </c>
      <c r="J3" s="13">
        <v>690.0</v>
      </c>
      <c r="K3" s="13">
        <v>715.0</v>
      </c>
      <c r="L3" s="13">
        <v>710.0</v>
      </c>
      <c r="M3" s="13">
        <v>765.0</v>
      </c>
      <c r="N3" s="13">
        <v>625.0</v>
      </c>
      <c r="O3" s="13">
        <v>570.0</v>
      </c>
      <c r="P3" s="13">
        <v>505.0</v>
      </c>
      <c r="Q3" s="13">
        <v>615.0</v>
      </c>
      <c r="R3" s="13">
        <v>550.0</v>
      </c>
      <c r="S3" s="13">
        <v>515.0</v>
      </c>
      <c r="T3" s="13">
        <v>595.0</v>
      </c>
      <c r="U3" s="13">
        <v>490.0</v>
      </c>
      <c r="V3" s="13">
        <v>595.0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>
      <c r="A5" s="14" t="s">
        <v>41</v>
      </c>
      <c r="B5" s="16">
        <f>B$3*OFFSET(B$5,0,1)/OFFSET(B$3,0,1)</f>
        <v>2427178984665</v>
      </c>
      <c r="C5" s="16">
        <f t="shared" ref="C5:V5" si="1">C$19*C$3</f>
        <v>2518084564615</v>
      </c>
      <c r="D5" s="16">
        <f t="shared" si="1"/>
        <v>1936684063785</v>
      </c>
      <c r="E5" s="16">
        <f t="shared" si="1"/>
        <v>1836493590860</v>
      </c>
      <c r="F5" s="16">
        <f t="shared" si="1"/>
        <v>1409291726950</v>
      </c>
      <c r="G5" s="16">
        <f t="shared" si="1"/>
        <v>1281580755315</v>
      </c>
      <c r="H5" s="16">
        <f t="shared" si="1"/>
        <v>1245773686145</v>
      </c>
      <c r="I5" s="16">
        <f t="shared" si="1"/>
        <v>1218278165400</v>
      </c>
      <c r="J5" s="16">
        <f t="shared" si="1"/>
        <v>1254740877600</v>
      </c>
      <c r="K5" s="16">
        <f t="shared" si="1"/>
        <v>1300073125065</v>
      </c>
      <c r="L5" s="16">
        <f t="shared" si="1"/>
        <v>1291061740070</v>
      </c>
      <c r="M5" s="16">
        <f t="shared" si="1"/>
        <v>1390984219890</v>
      </c>
      <c r="N5" s="16">
        <f t="shared" si="1"/>
        <v>1136544136250</v>
      </c>
      <c r="O5" s="16">
        <f t="shared" si="1"/>
        <v>1036418339730</v>
      </c>
      <c r="P5" s="16">
        <f t="shared" si="1"/>
        <v>918284327535</v>
      </c>
      <c r="Q5" s="16">
        <f t="shared" si="1"/>
        <v>1118124564645</v>
      </c>
      <c r="R5" s="16">
        <f t="shared" si="1"/>
        <v>1000274532950</v>
      </c>
      <c r="S5" s="16">
        <f t="shared" si="1"/>
        <v>937082125645</v>
      </c>
      <c r="T5" s="16">
        <f t="shared" si="1"/>
        <v>1080863816585</v>
      </c>
      <c r="U5" s="16">
        <f t="shared" si="1"/>
        <v>891089235890</v>
      </c>
      <c r="V5" s="16">
        <f t="shared" si="1"/>
        <v>1082036929295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</row>
    <row r="7">
      <c r="A7" s="4" t="s">
        <v>42</v>
      </c>
      <c r="B7" s="19" t="str">
        <f t="array" ref="B7">IF(COUNTIF($C7:$7,INDEX($C7:$7,MATCH(TRUE,$C7:$7&lt;&gt;"",0)))=COUNTIF($C7:$7,"&lt;&gt;"),"All "&amp;INDEX($C7:$7,MATCH(TRUE,$C7:$7&lt;&gt;"",0)),INDEX($C7:$7,MATCH(MAX(INDEX(COUNTIF($C7:$7,$C7:$7),0)),INDEX(COUNTIF($C7:$7,$C7:$7),0),0))&amp;" Dominant")</f>
        <v>All Local Currency</v>
      </c>
      <c r="C7" s="19" t="s">
        <v>43</v>
      </c>
      <c r="D7" s="19" t="s">
        <v>43</v>
      </c>
      <c r="E7" s="19" t="s">
        <v>43</v>
      </c>
      <c r="F7" s="19" t="s">
        <v>43</v>
      </c>
      <c r="G7" s="19" t="s">
        <v>43</v>
      </c>
      <c r="H7" s="19" t="s">
        <v>43</v>
      </c>
      <c r="I7" s="19" t="s">
        <v>43</v>
      </c>
      <c r="J7" s="19" t="s">
        <v>43</v>
      </c>
      <c r="K7" s="19" t="s">
        <v>43</v>
      </c>
      <c r="L7" s="19" t="s">
        <v>43</v>
      </c>
      <c r="M7" s="19" t="s">
        <v>43</v>
      </c>
      <c r="N7" s="19" t="s">
        <v>43</v>
      </c>
      <c r="O7" s="19" t="s">
        <v>43</v>
      </c>
      <c r="P7" s="19" t="s">
        <v>43</v>
      </c>
      <c r="Q7" s="19" t="s">
        <v>43</v>
      </c>
      <c r="R7" s="19" t="s">
        <v>43</v>
      </c>
      <c r="S7" s="19" t="s">
        <v>43</v>
      </c>
      <c r="T7" s="19" t="s">
        <v>43</v>
      </c>
      <c r="U7" s="19" t="s">
        <v>43</v>
      </c>
      <c r="V7" s="19" t="s">
        <v>43</v>
      </c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</row>
    <row r="9">
      <c r="A9" s="21" t="s">
        <v>44</v>
      </c>
      <c r="B9" s="11" t="str">
        <f t="shared" ref="B9:V9" si="2">B$2</f>
        <v>Current</v>
      </c>
      <c r="C9" s="11" t="str">
        <f t="shared" si="2"/>
        <v>FY2025</v>
      </c>
      <c r="D9" s="11" t="str">
        <f t="shared" si="2"/>
        <v>9M2025</v>
      </c>
      <c r="E9" s="11" t="str">
        <f t="shared" si="2"/>
        <v>1H2025</v>
      </c>
      <c r="F9" s="11" t="str">
        <f t="shared" si="2"/>
        <v>1Q2025</v>
      </c>
      <c r="G9" s="11" t="str">
        <f t="shared" si="2"/>
        <v>FY2024</v>
      </c>
      <c r="H9" s="11" t="str">
        <f t="shared" si="2"/>
        <v>9M2024</v>
      </c>
      <c r="I9" s="11" t="str">
        <f t="shared" si="2"/>
        <v>1H2024</v>
      </c>
      <c r="J9" s="11" t="str">
        <f t="shared" si="2"/>
        <v>1Q2024</v>
      </c>
      <c r="K9" s="11" t="str">
        <f t="shared" si="2"/>
        <v>FY2023</v>
      </c>
      <c r="L9" s="11" t="str">
        <f t="shared" si="2"/>
        <v>9M2023</v>
      </c>
      <c r="M9" s="11" t="str">
        <f t="shared" si="2"/>
        <v>1H2023</v>
      </c>
      <c r="N9" s="11" t="str">
        <f t="shared" si="2"/>
        <v>1Q2023</v>
      </c>
      <c r="O9" s="11" t="str">
        <f t="shared" si="2"/>
        <v>FY2022</v>
      </c>
      <c r="P9" s="11" t="str">
        <f t="shared" si="2"/>
        <v>9M2022</v>
      </c>
      <c r="Q9" s="11" t="str">
        <f t="shared" si="2"/>
        <v>1H2022</v>
      </c>
      <c r="R9" s="11" t="str">
        <f t="shared" si="2"/>
        <v>1Q2022</v>
      </c>
      <c r="S9" s="11" t="str">
        <f t="shared" si="2"/>
        <v>FY2021</v>
      </c>
      <c r="T9" s="11" t="str">
        <f t="shared" si="2"/>
        <v>9M2021</v>
      </c>
      <c r="U9" s="11" t="str">
        <f t="shared" si="2"/>
        <v>1H2021</v>
      </c>
      <c r="V9" s="11" t="str">
        <f t="shared" si="2"/>
        <v>1Q2021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>
      <c r="A10" s="4" t="s">
        <v>48</v>
      </c>
      <c r="B10" s="14"/>
      <c r="C10" s="24">
        <v>2.69720224E11</v>
      </c>
      <c r="D10" s="24">
        <v>2.44690118E11</v>
      </c>
      <c r="E10" s="24">
        <v>2.12278201E11</v>
      </c>
      <c r="F10" s="24">
        <v>2.03271873E11</v>
      </c>
      <c r="G10" s="24">
        <v>2.3877201E11</v>
      </c>
      <c r="H10" s="24">
        <v>2.25562144E11</v>
      </c>
      <c r="I10" s="24">
        <v>1.84623863E11</v>
      </c>
      <c r="J10" s="24">
        <v>1.75637819E11</v>
      </c>
      <c r="K10" s="24">
        <v>1.87042816E11</v>
      </c>
      <c r="L10" s="24">
        <v>1.812019E11</v>
      </c>
      <c r="M10" s="24">
        <v>1.75808477E11</v>
      </c>
      <c r="N10" s="24">
        <v>1.91151747E11</v>
      </c>
      <c r="O10" s="24">
        <v>2.18233269E11</v>
      </c>
      <c r="P10" s="24">
        <v>2.06003408E11</v>
      </c>
      <c r="Q10" s="24">
        <v>1.52290456E11</v>
      </c>
      <c r="R10" s="24">
        <v>1.50046126E11</v>
      </c>
      <c r="S10" s="24">
        <v>1.69064709E11</v>
      </c>
      <c r="T10" s="24">
        <v>1.14487473E11</v>
      </c>
      <c r="U10" s="24">
        <v>1.13360881E11</v>
      </c>
      <c r="V10" s="24">
        <v>1.19923887E11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>
      <c r="A11" s="4" t="s">
        <v>49</v>
      </c>
      <c r="B11" s="14"/>
      <c r="C11" s="24">
        <v>6.621597E10</v>
      </c>
      <c r="D11" s="24">
        <v>7.6450065E10</v>
      </c>
      <c r="E11" s="24">
        <v>6.2675757E10</v>
      </c>
      <c r="F11" s="24">
        <v>5.1170928E10</v>
      </c>
      <c r="G11" s="24">
        <v>6.4191999E10</v>
      </c>
      <c r="H11" s="24">
        <v>6.7336572E10</v>
      </c>
      <c r="I11" s="24">
        <v>4.2299859E10</v>
      </c>
      <c r="J11" s="24">
        <v>3.8387797E10</v>
      </c>
      <c r="K11" s="24">
        <v>4.8911907E10</v>
      </c>
      <c r="L11" s="24">
        <v>6.3025448E10</v>
      </c>
      <c r="M11" s="24">
        <v>3.6583493E10</v>
      </c>
      <c r="N11" s="24">
        <v>4.2333996E10</v>
      </c>
      <c r="O11" s="24">
        <v>5.2829242E10</v>
      </c>
      <c r="P11" s="24">
        <v>6.3479716E10</v>
      </c>
      <c r="Q11" s="24">
        <v>1.0151585E10</v>
      </c>
      <c r="R11" s="24">
        <v>3.5264224E10</v>
      </c>
      <c r="S11" s="24">
        <v>4.3459819E10</v>
      </c>
      <c r="T11" s="24">
        <v>1.763922E9</v>
      </c>
      <c r="U11" s="24">
        <v>-3.058854E9</v>
      </c>
      <c r="V11" s="24">
        <v>1.7891287E10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>
      <c r="A12" s="17"/>
      <c r="B12" s="14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</row>
    <row r="13">
      <c r="A13" s="23" t="s">
        <v>51</v>
      </c>
      <c r="B13" s="14"/>
      <c r="C13" s="25">
        <f t="shared" ref="C13:V13" si="3">IF(LEFT(C$2,2)="1Q",C$10,IF(LEFT(C$2,2)="1H",SUM(C$10:D$10),IF(LEFT(C$2,2)="9M",SUM(C$10:E$10),SUM(C$10:F$10))))</f>
        <v>929960416000</v>
      </c>
      <c r="D13" s="25">
        <f t="shared" si="3"/>
        <v>660240192000</v>
      </c>
      <c r="E13" s="25">
        <f t="shared" si="3"/>
        <v>415550074000</v>
      </c>
      <c r="F13" s="25">
        <f t="shared" si="3"/>
        <v>203271873000</v>
      </c>
      <c r="G13" s="25">
        <f t="shared" si="3"/>
        <v>824595836000</v>
      </c>
      <c r="H13" s="25">
        <f t="shared" si="3"/>
        <v>585823826000</v>
      </c>
      <c r="I13" s="25">
        <f t="shared" si="3"/>
        <v>360261682000</v>
      </c>
      <c r="J13" s="25">
        <f t="shared" si="3"/>
        <v>175637819000</v>
      </c>
      <c r="K13" s="25">
        <f t="shared" si="3"/>
        <v>735204940000</v>
      </c>
      <c r="L13" s="25">
        <f t="shared" si="3"/>
        <v>548162124000</v>
      </c>
      <c r="M13" s="25">
        <f t="shared" si="3"/>
        <v>366960224000</v>
      </c>
      <c r="N13" s="25">
        <f t="shared" si="3"/>
        <v>191151747000</v>
      </c>
      <c r="O13" s="25">
        <f t="shared" si="3"/>
        <v>726573259000</v>
      </c>
      <c r="P13" s="25">
        <f t="shared" si="3"/>
        <v>508339990000</v>
      </c>
      <c r="Q13" s="25">
        <f t="shared" si="3"/>
        <v>302336582000</v>
      </c>
      <c r="R13" s="25">
        <f t="shared" si="3"/>
        <v>150046126000</v>
      </c>
      <c r="S13" s="25">
        <f t="shared" si="3"/>
        <v>516836950000</v>
      </c>
      <c r="T13" s="25">
        <f t="shared" si="3"/>
        <v>347772241000</v>
      </c>
      <c r="U13" s="25">
        <f t="shared" si="3"/>
        <v>233284768000</v>
      </c>
      <c r="V13" s="25">
        <f t="shared" si="3"/>
        <v>119923887000</v>
      </c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</row>
    <row r="14">
      <c r="A14" s="23" t="s">
        <v>52</v>
      </c>
      <c r="B14" s="14"/>
      <c r="C14" s="26">
        <f t="shared" ref="C14:V14" si="4">(C$13-G$13)/ABS(G$13)</f>
        <v>0.12777724</v>
      </c>
      <c r="D14" s="26">
        <f t="shared" si="4"/>
        <v>0.1270285753</v>
      </c>
      <c r="E14" s="26">
        <f t="shared" si="4"/>
        <v>0.1534673121</v>
      </c>
      <c r="F14" s="26">
        <f t="shared" si="4"/>
        <v>0.1573354427</v>
      </c>
      <c r="G14" s="26">
        <f t="shared" si="4"/>
        <v>0.1215863647</v>
      </c>
      <c r="H14" s="26">
        <f t="shared" si="4"/>
        <v>0.06870540731</v>
      </c>
      <c r="I14" s="26">
        <f t="shared" si="4"/>
        <v>-0.01825413645</v>
      </c>
      <c r="J14" s="26">
        <f t="shared" si="4"/>
        <v>-0.08116027315</v>
      </c>
      <c r="K14" s="26">
        <f t="shared" si="4"/>
        <v>0.01187998718</v>
      </c>
      <c r="L14" s="26">
        <f t="shared" si="4"/>
        <v>0.07833759843</v>
      </c>
      <c r="M14" s="26">
        <f t="shared" si="4"/>
        <v>0.213747346</v>
      </c>
      <c r="N14" s="26">
        <f t="shared" si="4"/>
        <v>0.2739532309</v>
      </c>
      <c r="O14" s="26">
        <f t="shared" si="4"/>
        <v>0.4058074969</v>
      </c>
      <c r="P14" s="26">
        <f t="shared" si="4"/>
        <v>0.4617037534</v>
      </c>
      <c r="Q14" s="26">
        <f t="shared" si="4"/>
        <v>0.2959979539</v>
      </c>
      <c r="R14" s="26">
        <f t="shared" si="4"/>
        <v>0.2511779742</v>
      </c>
      <c r="S14" s="26" t="str">
        <f t="shared" si="4"/>
        <v>#DIV/0!</v>
      </c>
      <c r="T14" s="26" t="str">
        <f t="shared" si="4"/>
        <v>#DIV/0!</v>
      </c>
      <c r="U14" s="26" t="str">
        <f t="shared" si="4"/>
        <v>#DIV/0!</v>
      </c>
      <c r="V14" s="26" t="str">
        <f t="shared" si="4"/>
        <v>#DIV/0!</v>
      </c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</row>
    <row r="15">
      <c r="A15" s="17"/>
      <c r="B15" s="14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</row>
    <row r="16">
      <c r="A16" s="23" t="s">
        <v>54</v>
      </c>
      <c r="B16" s="14"/>
      <c r="C16" s="25">
        <f t="shared" ref="C16:V16" si="5">IF(LEFT(C$2,2)="1Q",C$11,IF(LEFT(C$2,2)="1H",SUM(C$11:D$11),IF(LEFT(C$2,2)="9M",SUM(C$11:E$11),SUM(C$11:F$11))))</f>
        <v>256512720000</v>
      </c>
      <c r="D16" s="25">
        <f t="shared" si="5"/>
        <v>190296750000</v>
      </c>
      <c r="E16" s="25">
        <f t="shared" si="5"/>
        <v>113846685000</v>
      </c>
      <c r="F16" s="25">
        <f t="shared" si="5"/>
        <v>51170928000</v>
      </c>
      <c r="G16" s="25">
        <f t="shared" si="5"/>
        <v>212216227000</v>
      </c>
      <c r="H16" s="25">
        <f t="shared" si="5"/>
        <v>148024228000</v>
      </c>
      <c r="I16" s="25">
        <f t="shared" si="5"/>
        <v>80687656000</v>
      </c>
      <c r="J16" s="25">
        <f t="shared" si="5"/>
        <v>38387797000</v>
      </c>
      <c r="K16" s="25">
        <f t="shared" si="5"/>
        <v>190854844000</v>
      </c>
      <c r="L16" s="25">
        <f t="shared" si="5"/>
        <v>141942937000</v>
      </c>
      <c r="M16" s="25">
        <f t="shared" si="5"/>
        <v>78917489000</v>
      </c>
      <c r="N16" s="25">
        <f t="shared" si="5"/>
        <v>42333996000</v>
      </c>
      <c r="O16" s="25">
        <f t="shared" si="5"/>
        <v>161724767000</v>
      </c>
      <c r="P16" s="25">
        <f t="shared" si="5"/>
        <v>108895525000</v>
      </c>
      <c r="Q16" s="25">
        <f t="shared" si="5"/>
        <v>45415809000</v>
      </c>
      <c r="R16" s="25">
        <f t="shared" si="5"/>
        <v>35264224000</v>
      </c>
      <c r="S16" s="25">
        <f t="shared" si="5"/>
        <v>60056174000</v>
      </c>
      <c r="T16" s="25">
        <f t="shared" si="5"/>
        <v>16596355000</v>
      </c>
      <c r="U16" s="25">
        <f t="shared" si="5"/>
        <v>14832433000</v>
      </c>
      <c r="V16" s="25">
        <f t="shared" si="5"/>
        <v>17891287000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>
      <c r="A17" s="23" t="s">
        <v>55</v>
      </c>
      <c r="B17" s="14"/>
      <c r="C17" s="26">
        <f t="shared" ref="C17:V17" si="6">(C$16-G$16)/ABS(G$16)</f>
        <v>0.208732827</v>
      </c>
      <c r="D17" s="26">
        <f t="shared" si="6"/>
        <v>0.2855783987</v>
      </c>
      <c r="E17" s="26">
        <f t="shared" si="6"/>
        <v>0.4109554131</v>
      </c>
      <c r="F17" s="26">
        <f t="shared" si="6"/>
        <v>0.3329998593</v>
      </c>
      <c r="G17" s="26">
        <f t="shared" si="6"/>
        <v>0.111924762</v>
      </c>
      <c r="H17" s="26">
        <f t="shared" si="6"/>
        <v>0.04284320959</v>
      </c>
      <c r="I17" s="26">
        <f t="shared" si="6"/>
        <v>0.0224306047</v>
      </c>
      <c r="J17" s="26">
        <f t="shared" si="6"/>
        <v>-0.09321584005</v>
      </c>
      <c r="K17" s="26">
        <f t="shared" si="6"/>
        <v>0.1801213107</v>
      </c>
      <c r="L17" s="26">
        <f t="shared" si="6"/>
        <v>0.3034781457</v>
      </c>
      <c r="M17" s="26">
        <f t="shared" si="6"/>
        <v>0.7376656001</v>
      </c>
      <c r="N17" s="26">
        <f t="shared" si="6"/>
        <v>0.2004800106</v>
      </c>
      <c r="O17" s="26">
        <f t="shared" si="6"/>
        <v>1.692891608</v>
      </c>
      <c r="P17" s="26">
        <f t="shared" si="6"/>
        <v>5.561412129</v>
      </c>
      <c r="Q17" s="26">
        <f t="shared" si="6"/>
        <v>2.061925781</v>
      </c>
      <c r="R17" s="26">
        <f t="shared" si="6"/>
        <v>0.9710277969</v>
      </c>
      <c r="S17" s="26" t="str">
        <f t="shared" si="6"/>
        <v>#DIV/0!</v>
      </c>
      <c r="T17" s="26" t="str">
        <f t="shared" si="6"/>
        <v>#DIV/0!</v>
      </c>
      <c r="U17" s="26" t="str">
        <f t="shared" si="6"/>
        <v>#DIV/0!</v>
      </c>
      <c r="V17" s="26" t="str">
        <f t="shared" si="6"/>
        <v>#DIV/0!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>
      <c r="A19" s="4" t="s">
        <v>56</v>
      </c>
      <c r="B19" s="14"/>
      <c r="C19" s="24">
        <v>1.818111599E9</v>
      </c>
      <c r="D19" s="24">
        <v>1.818482689E9</v>
      </c>
      <c r="E19" s="24">
        <v>1.818310486E9</v>
      </c>
      <c r="F19" s="24">
        <v>1.818440938E9</v>
      </c>
      <c r="G19" s="24">
        <v>1.817845043E9</v>
      </c>
      <c r="H19" s="24">
        <v>1.818647717E9</v>
      </c>
      <c r="I19" s="24">
        <v>1.81832562E9</v>
      </c>
      <c r="J19" s="24">
        <v>1.81846504E9</v>
      </c>
      <c r="K19" s="24">
        <v>1.818284091E9</v>
      </c>
      <c r="L19" s="24">
        <v>1.818396817E9</v>
      </c>
      <c r="M19" s="24">
        <v>1.818280026E9</v>
      </c>
      <c r="N19" s="24">
        <v>1.818470618E9</v>
      </c>
      <c r="O19" s="24">
        <v>1.818277789E9</v>
      </c>
      <c r="P19" s="24">
        <v>1.818384807E9</v>
      </c>
      <c r="Q19" s="24">
        <v>1.818088723E9</v>
      </c>
      <c r="R19" s="24">
        <v>1.818680969E9</v>
      </c>
      <c r="S19" s="24">
        <v>1.819576943E9</v>
      </c>
      <c r="T19" s="24">
        <v>1.816577843E9</v>
      </c>
      <c r="U19" s="24">
        <v>1.818549461E9</v>
      </c>
      <c r="V19" s="24">
        <v>1.818549461E9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</row>
    <row r="21">
      <c r="A21" s="21" t="s">
        <v>57</v>
      </c>
      <c r="B21" s="11" t="str">
        <f t="shared" ref="B21:V21" si="7">B$2</f>
        <v>Current</v>
      </c>
      <c r="C21" s="11" t="str">
        <f t="shared" si="7"/>
        <v>FY2025</v>
      </c>
      <c r="D21" s="11" t="str">
        <f t="shared" si="7"/>
        <v>9M2025</v>
      </c>
      <c r="E21" s="11" t="str">
        <f t="shared" si="7"/>
        <v>1H2025</v>
      </c>
      <c r="F21" s="11" t="str">
        <f t="shared" si="7"/>
        <v>1Q2025</v>
      </c>
      <c r="G21" s="11" t="str">
        <f t="shared" si="7"/>
        <v>FY2024</v>
      </c>
      <c r="H21" s="11" t="str">
        <f t="shared" si="7"/>
        <v>9M2024</v>
      </c>
      <c r="I21" s="11" t="str">
        <f t="shared" si="7"/>
        <v>1H2024</v>
      </c>
      <c r="J21" s="11" t="str">
        <f t="shared" si="7"/>
        <v>1Q2024</v>
      </c>
      <c r="K21" s="11" t="str">
        <f t="shared" si="7"/>
        <v>FY2023</v>
      </c>
      <c r="L21" s="11" t="str">
        <f t="shared" si="7"/>
        <v>9M2023</v>
      </c>
      <c r="M21" s="11" t="str">
        <f t="shared" si="7"/>
        <v>1H2023</v>
      </c>
      <c r="N21" s="11" t="str">
        <f t="shared" si="7"/>
        <v>1Q2023</v>
      </c>
      <c r="O21" s="11" t="str">
        <f t="shared" si="7"/>
        <v>FY2022</v>
      </c>
      <c r="P21" s="11" t="str">
        <f t="shared" si="7"/>
        <v>9M2022</v>
      </c>
      <c r="Q21" s="11" t="str">
        <f t="shared" si="7"/>
        <v>1H2022</v>
      </c>
      <c r="R21" s="11" t="str">
        <f t="shared" si="7"/>
        <v>1Q2022</v>
      </c>
      <c r="S21" s="11" t="str">
        <f t="shared" si="7"/>
        <v>FY2021</v>
      </c>
      <c r="T21" s="11" t="str">
        <f t="shared" si="7"/>
        <v>9M2021</v>
      </c>
      <c r="U21" s="11" t="str">
        <f t="shared" si="7"/>
        <v>1H2021</v>
      </c>
      <c r="V21" s="11" t="str">
        <f t="shared" si="7"/>
        <v>1Q2021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>
      <c r="A22" s="4" t="s">
        <v>58</v>
      </c>
      <c r="B22" s="14"/>
      <c r="C22" s="24">
        <v>1.360801231E12</v>
      </c>
      <c r="D22" s="24">
        <v>1.34215948E12</v>
      </c>
      <c r="E22" s="24">
        <v>1.265709415E12</v>
      </c>
      <c r="F22" s="24">
        <v>1.328399319E12</v>
      </c>
      <c r="G22" s="24">
        <v>1.277228391E12</v>
      </c>
      <c r="H22" s="24">
        <v>1.257666157E12</v>
      </c>
      <c r="I22" s="24">
        <v>1.190106935E12</v>
      </c>
      <c r="J22" s="24">
        <v>1.261254651E12</v>
      </c>
      <c r="K22" s="24">
        <v>1.222866854E12</v>
      </c>
      <c r="L22" s="24">
        <v>1.213408389E12</v>
      </c>
      <c r="M22" s="24">
        <v>1.240883954E12</v>
      </c>
      <c r="N22" s="24">
        <v>1.204304183E12</v>
      </c>
      <c r="O22" s="24">
        <v>1.161970187E12</v>
      </c>
      <c r="P22" s="24">
        <v>1.131848849E12</v>
      </c>
      <c r="Q22" s="24">
        <v>1.110408454E12</v>
      </c>
      <c r="R22" s="24">
        <v>1.100256869E12</v>
      </c>
      <c r="S22" s="24">
        <v>1.064992645E12</v>
      </c>
      <c r="T22" s="24">
        <v>1.021532826E12</v>
      </c>
      <c r="U22" s="24">
        <v>1.019768905E12</v>
      </c>
      <c r="V22" s="24">
        <v>1.022827759E12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</row>
    <row r="24">
      <c r="A24" s="28" t="s">
        <v>59</v>
      </c>
      <c r="B24" s="29" t="str">
        <f t="shared" ref="B24:V24" si="8">B$2</f>
        <v>Current</v>
      </c>
      <c r="C24" s="11" t="str">
        <f t="shared" si="8"/>
        <v>FY2025</v>
      </c>
      <c r="D24" s="11" t="str">
        <f t="shared" si="8"/>
        <v>9M2025</v>
      </c>
      <c r="E24" s="11" t="str">
        <f t="shared" si="8"/>
        <v>1H2025</v>
      </c>
      <c r="F24" s="11" t="str">
        <f t="shared" si="8"/>
        <v>1Q2025</v>
      </c>
      <c r="G24" s="11" t="str">
        <f t="shared" si="8"/>
        <v>FY2024</v>
      </c>
      <c r="H24" s="11" t="str">
        <f t="shared" si="8"/>
        <v>9M2024</v>
      </c>
      <c r="I24" s="11" t="str">
        <f t="shared" si="8"/>
        <v>1H2024</v>
      </c>
      <c r="J24" s="11" t="str">
        <f t="shared" si="8"/>
        <v>1Q2024</v>
      </c>
      <c r="K24" s="11" t="str">
        <f t="shared" si="8"/>
        <v>FY2023</v>
      </c>
      <c r="L24" s="11" t="str">
        <f t="shared" si="8"/>
        <v>9M2023</v>
      </c>
      <c r="M24" s="11" t="str">
        <f t="shared" si="8"/>
        <v>1H2023</v>
      </c>
      <c r="N24" s="11" t="str">
        <f t="shared" si="8"/>
        <v>1Q2023</v>
      </c>
      <c r="O24" s="11" t="str">
        <f t="shared" si="8"/>
        <v>FY2022</v>
      </c>
      <c r="P24" s="11" t="str">
        <f t="shared" si="8"/>
        <v>9M2022</v>
      </c>
      <c r="Q24" s="11" t="str">
        <f t="shared" si="8"/>
        <v>1H2022</v>
      </c>
      <c r="R24" s="11" t="str">
        <f t="shared" si="8"/>
        <v>1Q2022</v>
      </c>
      <c r="S24" s="11" t="str">
        <f t="shared" si="8"/>
        <v>FY2021</v>
      </c>
      <c r="T24" s="11" t="str">
        <f t="shared" si="8"/>
        <v>9M2021</v>
      </c>
      <c r="U24" s="11" t="str">
        <f t="shared" si="8"/>
        <v>1H2021</v>
      </c>
      <c r="V24" s="11" t="str">
        <f t="shared" si="8"/>
        <v>1Q2021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>
      <c r="A25" s="30" t="s">
        <v>60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>
      <c r="A26" s="23" t="s">
        <v>61</v>
      </c>
      <c r="B26" s="14"/>
      <c r="C26" s="6">
        <f t="shared" ref="C26:V26" si="9">C$11*C$1/C$19</f>
        <v>36.42019007</v>
      </c>
      <c r="D26" s="6">
        <f t="shared" si="9"/>
        <v>42.04057892</v>
      </c>
      <c r="E26" s="6">
        <f t="shared" si="9"/>
        <v>34.46922706</v>
      </c>
      <c r="F26" s="6">
        <f t="shared" si="9"/>
        <v>28.14</v>
      </c>
      <c r="G26" s="6">
        <f t="shared" si="9"/>
        <v>35.31214019</v>
      </c>
      <c r="H26" s="6">
        <f t="shared" si="9"/>
        <v>37.02562699</v>
      </c>
      <c r="I26" s="6">
        <f t="shared" si="9"/>
        <v>23.26308255</v>
      </c>
      <c r="J26" s="6">
        <f t="shared" si="9"/>
        <v>21.11</v>
      </c>
      <c r="K26" s="6">
        <f t="shared" si="9"/>
        <v>26.90003572</v>
      </c>
      <c r="L26" s="6">
        <f t="shared" si="9"/>
        <v>34.65989789</v>
      </c>
      <c r="M26" s="6">
        <f t="shared" si="9"/>
        <v>20.11983439</v>
      </c>
      <c r="N26" s="6">
        <f t="shared" si="9"/>
        <v>23.28000001</v>
      </c>
      <c r="O26" s="6">
        <f t="shared" si="9"/>
        <v>29.05454949</v>
      </c>
      <c r="P26" s="6">
        <f t="shared" si="9"/>
        <v>34.90994632</v>
      </c>
      <c r="Q26" s="6">
        <f t="shared" si="9"/>
        <v>5.583657646</v>
      </c>
      <c r="R26" s="6">
        <f t="shared" si="9"/>
        <v>19.39000001</v>
      </c>
      <c r="S26" s="6">
        <f t="shared" si="9"/>
        <v>23.88457337</v>
      </c>
      <c r="T26" s="6">
        <f t="shared" si="9"/>
        <v>0.971013715</v>
      </c>
      <c r="U26" s="6">
        <f t="shared" si="9"/>
        <v>-1.682029588</v>
      </c>
      <c r="V26" s="6">
        <f t="shared" si="9"/>
        <v>9.838218527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>
      <c r="A27" s="23" t="s">
        <v>62</v>
      </c>
      <c r="B27" s="14"/>
      <c r="C27" s="6">
        <f t="shared" ref="C27:V27" si="10">IF(LEFT(C$2,2)="1Q",C$26,IF(LEFT(C$2,2)="1H",SUM(C$26:D$26),IF(LEFT(C$2,2)="9M",SUM(C$26:E$26),SUM(C$26:F$26))))</f>
        <v>141.069996</v>
      </c>
      <c r="D27" s="6">
        <f t="shared" si="10"/>
        <v>104.649806</v>
      </c>
      <c r="E27" s="6">
        <f t="shared" si="10"/>
        <v>62.60922706</v>
      </c>
      <c r="F27" s="6">
        <f t="shared" si="10"/>
        <v>28.14</v>
      </c>
      <c r="G27" s="6">
        <f t="shared" si="10"/>
        <v>116.7108497</v>
      </c>
      <c r="H27" s="6">
        <f t="shared" si="10"/>
        <v>81.39870954</v>
      </c>
      <c r="I27" s="6">
        <f t="shared" si="10"/>
        <v>44.37308255</v>
      </c>
      <c r="J27" s="6">
        <f t="shared" si="10"/>
        <v>21.11</v>
      </c>
      <c r="K27" s="6">
        <f t="shared" si="10"/>
        <v>104.959768</v>
      </c>
      <c r="L27" s="6">
        <f t="shared" si="10"/>
        <v>78.05973229</v>
      </c>
      <c r="M27" s="6">
        <f t="shared" si="10"/>
        <v>43.3998344</v>
      </c>
      <c r="N27" s="6">
        <f t="shared" si="10"/>
        <v>23.28000001</v>
      </c>
      <c r="O27" s="6">
        <f t="shared" si="10"/>
        <v>88.93815346</v>
      </c>
      <c r="P27" s="6">
        <f t="shared" si="10"/>
        <v>59.88360397</v>
      </c>
      <c r="Q27" s="6">
        <f t="shared" si="10"/>
        <v>24.97365765</v>
      </c>
      <c r="R27" s="6">
        <f t="shared" si="10"/>
        <v>19.39000001</v>
      </c>
      <c r="S27" s="6">
        <f t="shared" si="10"/>
        <v>33.01177603</v>
      </c>
      <c r="T27" s="6">
        <f t="shared" si="10"/>
        <v>9.127202655</v>
      </c>
      <c r="U27" s="6">
        <f t="shared" si="10"/>
        <v>8.15618894</v>
      </c>
      <c r="V27" s="6">
        <f t="shared" si="10"/>
        <v>9.838218527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>
      <c r="A28" s="14" t="s">
        <v>63</v>
      </c>
      <c r="B28" s="14"/>
      <c r="C28" s="6">
        <f t="shared" ref="C28:V28" si="11">C$22*C$1/C$19</f>
        <v>748.4695834</v>
      </c>
      <c r="D28" s="6">
        <f t="shared" si="11"/>
        <v>738.0655797</v>
      </c>
      <c r="E28" s="6">
        <f t="shared" si="11"/>
        <v>696.0909178</v>
      </c>
      <c r="F28" s="6">
        <f t="shared" si="11"/>
        <v>730.5155154</v>
      </c>
      <c r="G28" s="6">
        <f t="shared" si="11"/>
        <v>702.6057561</v>
      </c>
      <c r="H28" s="6">
        <f t="shared" si="11"/>
        <v>691.5391833</v>
      </c>
      <c r="I28" s="6">
        <f t="shared" si="11"/>
        <v>654.5070486</v>
      </c>
      <c r="J28" s="6">
        <f t="shared" si="11"/>
        <v>693.5820174</v>
      </c>
      <c r="K28" s="6">
        <f t="shared" si="11"/>
        <v>672.5389394</v>
      </c>
      <c r="L28" s="6">
        <f t="shared" si="11"/>
        <v>667.2957067</v>
      </c>
      <c r="M28" s="6">
        <f t="shared" si="11"/>
        <v>682.4493127</v>
      </c>
      <c r="N28" s="6">
        <f t="shared" si="11"/>
        <v>662.262107</v>
      </c>
      <c r="O28" s="6">
        <f t="shared" si="11"/>
        <v>639.0498713</v>
      </c>
      <c r="P28" s="6">
        <f t="shared" si="11"/>
        <v>622.4473745</v>
      </c>
      <c r="Q28" s="6">
        <f t="shared" si="11"/>
        <v>610.7559218</v>
      </c>
      <c r="R28" s="6">
        <f t="shared" si="11"/>
        <v>604.9751923</v>
      </c>
      <c r="S28" s="6">
        <f t="shared" si="11"/>
        <v>585.2968456</v>
      </c>
      <c r="T28" s="6">
        <f t="shared" si="11"/>
        <v>562.3391422</v>
      </c>
      <c r="U28" s="6">
        <f t="shared" si="11"/>
        <v>560.7595102</v>
      </c>
      <c r="V28" s="6">
        <f t="shared" si="11"/>
        <v>562.4415398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>
      <c r="A29" s="14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>
      <c r="A30" s="30" t="s">
        <v>64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>
      <c r="A31" s="14" t="s">
        <v>65</v>
      </c>
      <c r="B31" s="6">
        <f>$B$3/SUM(OFFSET($B$26,0,1,1,4))</f>
        <v>9.463387236</v>
      </c>
      <c r="C31" s="6">
        <f t="shared" ref="C31:V31" si="12">C$3/SUM(C$26:F$26)</f>
        <v>9.817821215</v>
      </c>
      <c r="D31" s="6">
        <f t="shared" si="12"/>
        <v>7.60921114</v>
      </c>
      <c r="E31" s="6">
        <f t="shared" si="12"/>
        <v>7.484420129</v>
      </c>
      <c r="F31" s="6">
        <f t="shared" si="12"/>
        <v>6.263089365</v>
      </c>
      <c r="G31" s="6">
        <f t="shared" si="12"/>
        <v>6.040569507</v>
      </c>
      <c r="H31" s="6">
        <f t="shared" si="12"/>
        <v>6.325096365</v>
      </c>
      <c r="I31" s="6">
        <f t="shared" si="12"/>
        <v>6.324751473</v>
      </c>
      <c r="J31" s="6">
        <f t="shared" si="12"/>
        <v>6.712730395</v>
      </c>
      <c r="K31" s="6">
        <f t="shared" si="12"/>
        <v>6.812133959</v>
      </c>
      <c r="L31" s="6">
        <f t="shared" si="12"/>
        <v>6.628434493</v>
      </c>
      <c r="M31" s="6">
        <f t="shared" si="12"/>
        <v>7.12527148</v>
      </c>
      <c r="N31" s="6">
        <f t="shared" si="12"/>
        <v>6.73287119</v>
      </c>
      <c r="O31" s="6">
        <f t="shared" si="12"/>
        <v>6.408947992</v>
      </c>
      <c r="P31" s="6">
        <f t="shared" si="12"/>
        <v>6.028542294</v>
      </c>
      <c r="Q31" s="6">
        <f t="shared" si="12"/>
        <v>12.34214974</v>
      </c>
      <c r="R31" s="6">
        <f t="shared" si="12"/>
        <v>12.92185222</v>
      </c>
      <c r="S31" s="6">
        <f t="shared" si="12"/>
        <v>15.60049358</v>
      </c>
      <c r="T31" s="6">
        <f t="shared" si="12"/>
        <v>65.18974351</v>
      </c>
      <c r="U31" s="6">
        <f t="shared" si="12"/>
        <v>60.07707811</v>
      </c>
      <c r="V31" s="6">
        <f t="shared" si="12"/>
        <v>60.47842893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>
      <c r="A32" s="23" t="s">
        <v>66</v>
      </c>
      <c r="B32" s="6">
        <f>$B$3/OFFSET($B$28,0,1)</f>
        <v>1.783639616</v>
      </c>
      <c r="C32" s="6">
        <f t="shared" ref="C32:V32" si="13">C$3/C$28</f>
        <v>1.850442598</v>
      </c>
      <c r="D32" s="6">
        <f t="shared" si="13"/>
        <v>1.442961207</v>
      </c>
      <c r="E32" s="6">
        <f t="shared" si="13"/>
        <v>1.450959888</v>
      </c>
      <c r="F32" s="6">
        <f t="shared" si="13"/>
        <v>1.060894647</v>
      </c>
      <c r="G32" s="6">
        <f t="shared" si="13"/>
        <v>1.003407663</v>
      </c>
      <c r="H32" s="6">
        <f t="shared" si="13"/>
        <v>0.9905440162</v>
      </c>
      <c r="I32" s="6">
        <f t="shared" si="13"/>
        <v>1.023671176</v>
      </c>
      <c r="J32" s="6">
        <f t="shared" si="13"/>
        <v>0.9948354812</v>
      </c>
      <c r="K32" s="6">
        <f t="shared" si="13"/>
        <v>1.063135468</v>
      </c>
      <c r="L32" s="6">
        <f t="shared" si="13"/>
        <v>1.063996056</v>
      </c>
      <c r="M32" s="6">
        <f t="shared" si="13"/>
        <v>1.120962372</v>
      </c>
      <c r="N32" s="6">
        <f t="shared" si="13"/>
        <v>0.9437351064</v>
      </c>
      <c r="O32" s="6">
        <f t="shared" si="13"/>
        <v>0.8919491664</v>
      </c>
      <c r="P32" s="6">
        <f t="shared" si="13"/>
        <v>0.8113135675</v>
      </c>
      <c r="Q32" s="6">
        <f t="shared" si="13"/>
        <v>1.006948894</v>
      </c>
      <c r="R32" s="6">
        <f t="shared" si="13"/>
        <v>0.9091281874</v>
      </c>
      <c r="S32" s="6">
        <f t="shared" si="13"/>
        <v>0.8798953965</v>
      </c>
      <c r="T32" s="6">
        <f t="shared" si="13"/>
        <v>1.058080356</v>
      </c>
      <c r="U32" s="6">
        <f t="shared" si="13"/>
        <v>0.8738148727</v>
      </c>
      <c r="V32" s="6">
        <f t="shared" si="13"/>
        <v>1.057887723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>
      <c r="A33" s="23" t="s">
        <v>67</v>
      </c>
      <c r="B33" s="6">
        <f>B$31/OFFSET($B39,0,1)/100</f>
        <v>0.2807569039</v>
      </c>
      <c r="C33" s="6">
        <f t="shared" ref="C33:V33" si="14">C$31/C$39/100</f>
        <v>0.2912721437</v>
      </c>
      <c r="D33" s="6">
        <f t="shared" si="14"/>
        <v>0.1047563525</v>
      </c>
      <c r="E33" s="6">
        <f t="shared" si="14"/>
        <v>0.09941959156</v>
      </c>
      <c r="F33" s="6">
        <f t="shared" si="14"/>
        <v>0.09499912276</v>
      </c>
      <c r="G33" s="6" t="str">
        <f t="shared" si="14"/>
        <v>#DIV/0!</v>
      </c>
      <c r="H33" s="6" t="str">
        <f t="shared" si="14"/>
        <v>#DIV/0!</v>
      </c>
      <c r="I33" s="6" t="str">
        <f t="shared" si="14"/>
        <v>#DIV/0!</v>
      </c>
      <c r="J33" s="6" t="str">
        <f t="shared" si="14"/>
        <v>#DIV/0!</v>
      </c>
      <c r="K33" s="6" t="str">
        <f t="shared" si="14"/>
        <v>#DIV/0!</v>
      </c>
      <c r="L33" s="6" t="str">
        <f t="shared" si="14"/>
        <v>#DIV/0!</v>
      </c>
      <c r="M33" s="6" t="str">
        <f t="shared" si="14"/>
        <v>#DIV/0!</v>
      </c>
      <c r="N33" s="6" t="str">
        <f t="shared" si="14"/>
        <v>#DIV/0!</v>
      </c>
      <c r="O33" s="6" t="str">
        <f t="shared" si="14"/>
        <v>#DIV/0!</v>
      </c>
      <c r="P33" s="6" t="str">
        <f t="shared" si="14"/>
        <v>#DIV/0!</v>
      </c>
      <c r="Q33" s="6" t="str">
        <f t="shared" si="14"/>
        <v>#DIV/0!</v>
      </c>
      <c r="R33" s="6" t="str">
        <f t="shared" si="14"/>
        <v>#DIV/0!</v>
      </c>
      <c r="S33" s="6" t="str">
        <f t="shared" si="14"/>
        <v>#DIV/0!</v>
      </c>
      <c r="T33" s="6" t="str">
        <f t="shared" si="14"/>
        <v>#DIV/0!</v>
      </c>
      <c r="U33" s="6" t="str">
        <f t="shared" si="14"/>
        <v>#DIV/0!</v>
      </c>
      <c r="V33" s="6" t="str">
        <f t="shared" si="14"/>
        <v>#DIV/0!</v>
      </c>
      <c r="W33" s="2"/>
      <c r="X33" s="2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>
      <c r="A35" s="30" t="s">
        <v>68</v>
      </c>
      <c r="B35" s="31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>
      <c r="A36" s="14" t="s">
        <v>69</v>
      </c>
      <c r="B36" s="31"/>
      <c r="C36" s="32">
        <f t="shared" ref="C36:V36" si="15">C$16/ABS(C$13)</f>
        <v>0.2758318694</v>
      </c>
      <c r="D36" s="32">
        <f t="shared" si="15"/>
        <v>0.2882235167</v>
      </c>
      <c r="E36" s="32">
        <f t="shared" si="15"/>
        <v>0.2739662248</v>
      </c>
      <c r="F36" s="32">
        <f t="shared" si="15"/>
        <v>0.2517363925</v>
      </c>
      <c r="G36" s="32">
        <f t="shared" si="15"/>
        <v>0.2573578688</v>
      </c>
      <c r="H36" s="32">
        <f t="shared" si="15"/>
        <v>0.252677036</v>
      </c>
      <c r="I36" s="32">
        <f t="shared" si="15"/>
        <v>0.2239695755</v>
      </c>
      <c r="J36" s="32">
        <f t="shared" si="15"/>
        <v>0.2185622505</v>
      </c>
      <c r="K36" s="32">
        <f t="shared" si="15"/>
        <v>0.2595940718</v>
      </c>
      <c r="L36" s="32">
        <f t="shared" si="15"/>
        <v>0.2589433505</v>
      </c>
      <c r="M36" s="32">
        <f t="shared" si="15"/>
        <v>0.2150573382</v>
      </c>
      <c r="N36" s="32">
        <f t="shared" si="15"/>
        <v>0.2214680047</v>
      </c>
      <c r="O36" s="32">
        <f t="shared" si="15"/>
        <v>0.2225856306</v>
      </c>
      <c r="P36" s="32">
        <f t="shared" si="15"/>
        <v>0.2142178997</v>
      </c>
      <c r="Q36" s="32">
        <f t="shared" si="15"/>
        <v>0.1502160562</v>
      </c>
      <c r="R36" s="32">
        <f t="shared" si="15"/>
        <v>0.2350225557</v>
      </c>
      <c r="S36" s="32">
        <f t="shared" si="15"/>
        <v>0.116199459</v>
      </c>
      <c r="T36" s="32">
        <f t="shared" si="15"/>
        <v>0.04772190832</v>
      </c>
      <c r="U36" s="32">
        <f t="shared" si="15"/>
        <v>0.06358080353</v>
      </c>
      <c r="V36" s="32">
        <f t="shared" si="15"/>
        <v>0.149188685</v>
      </c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</row>
    <row r="37">
      <c r="A37" s="14"/>
      <c r="B37" s="31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</row>
    <row r="38">
      <c r="A38" s="21" t="s">
        <v>70</v>
      </c>
      <c r="B38" s="29" t="str">
        <f t="shared" ref="B38:V38" si="16">B$2</f>
        <v>Current</v>
      </c>
      <c r="C38" s="11" t="str">
        <f t="shared" si="16"/>
        <v>FY2025</v>
      </c>
      <c r="D38" s="11" t="str">
        <f t="shared" si="16"/>
        <v>9M2025</v>
      </c>
      <c r="E38" s="11" t="str">
        <f t="shared" si="16"/>
        <v>1H2025</v>
      </c>
      <c r="F38" s="11" t="str">
        <f t="shared" si="16"/>
        <v>1Q2025</v>
      </c>
      <c r="G38" s="11" t="str">
        <f t="shared" si="16"/>
        <v>FY2024</v>
      </c>
      <c r="H38" s="11" t="str">
        <f t="shared" si="16"/>
        <v>9M2024</v>
      </c>
      <c r="I38" s="11" t="str">
        <f t="shared" si="16"/>
        <v>1H2024</v>
      </c>
      <c r="J38" s="11" t="str">
        <f t="shared" si="16"/>
        <v>1Q2024</v>
      </c>
      <c r="K38" s="11" t="str">
        <f t="shared" si="16"/>
        <v>FY2023</v>
      </c>
      <c r="L38" s="11" t="str">
        <f t="shared" si="16"/>
        <v>9M2023</v>
      </c>
      <c r="M38" s="11" t="str">
        <f t="shared" si="16"/>
        <v>1H2023</v>
      </c>
      <c r="N38" s="11" t="str">
        <f t="shared" si="16"/>
        <v>1Q2023</v>
      </c>
      <c r="O38" s="11" t="str">
        <f t="shared" si="16"/>
        <v>FY2022</v>
      </c>
      <c r="P38" s="11" t="str">
        <f t="shared" si="16"/>
        <v>9M2022</v>
      </c>
      <c r="Q38" s="11" t="str">
        <f t="shared" si="16"/>
        <v>1H2022</v>
      </c>
      <c r="R38" s="11" t="str">
        <f t="shared" si="16"/>
        <v>1Q2022</v>
      </c>
      <c r="S38" s="11" t="str">
        <f t="shared" si="16"/>
        <v>FY2021</v>
      </c>
      <c r="T38" s="11" t="str">
        <f t="shared" si="16"/>
        <v>9M2021</v>
      </c>
      <c r="U38" s="11" t="str">
        <f t="shared" si="16"/>
        <v>1H2021</v>
      </c>
      <c r="V38" s="11" t="str">
        <f t="shared" si="16"/>
        <v>1Q2021</v>
      </c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>
      <c r="A39" s="23" t="s">
        <v>71</v>
      </c>
      <c r="B39" s="17"/>
      <c r="C39" s="8">
        <f t="shared" ref="C39:V39" si="17">(SUM(C$26:F$26)/SUM(S$26:V$26))^(1/5)-1</f>
        <v>0.3370669467</v>
      </c>
      <c r="D39" s="8">
        <f t="shared" si="17"/>
        <v>0.7263722873</v>
      </c>
      <c r="E39" s="8">
        <f t="shared" si="17"/>
        <v>0.7528113937</v>
      </c>
      <c r="F39" s="8">
        <f t="shared" si="17"/>
        <v>0.6592786526</v>
      </c>
      <c r="G39" s="8" t="str">
        <f t="shared" si="17"/>
        <v>#DIV/0!</v>
      </c>
      <c r="H39" s="8" t="str">
        <f t="shared" si="17"/>
        <v>#DIV/0!</v>
      </c>
      <c r="I39" s="8" t="str">
        <f t="shared" si="17"/>
        <v>#DIV/0!</v>
      </c>
      <c r="J39" s="8" t="str">
        <f t="shared" si="17"/>
        <v>#DIV/0!</v>
      </c>
      <c r="K39" s="8" t="str">
        <f t="shared" si="17"/>
        <v>#DIV/0!</v>
      </c>
      <c r="L39" s="8" t="str">
        <f t="shared" si="17"/>
        <v>#DIV/0!</v>
      </c>
      <c r="M39" s="8" t="str">
        <f t="shared" si="17"/>
        <v>#DIV/0!</v>
      </c>
      <c r="N39" s="8" t="str">
        <f t="shared" si="17"/>
        <v>#DIV/0!</v>
      </c>
      <c r="O39" s="8" t="str">
        <f t="shared" si="17"/>
        <v>#DIV/0!</v>
      </c>
      <c r="P39" s="8" t="str">
        <f t="shared" si="17"/>
        <v>#DIV/0!</v>
      </c>
      <c r="Q39" s="8" t="str">
        <f t="shared" si="17"/>
        <v>#DIV/0!</v>
      </c>
      <c r="R39" s="8" t="str">
        <f t="shared" si="17"/>
        <v>#DIV/0!</v>
      </c>
      <c r="S39" s="8" t="str">
        <f t="shared" si="17"/>
        <v>#DIV/0!</v>
      </c>
      <c r="T39" s="8" t="str">
        <f t="shared" si="17"/>
        <v>#DIV/0!</v>
      </c>
      <c r="U39" s="8" t="str">
        <f t="shared" si="17"/>
        <v>#DIV/0!</v>
      </c>
      <c r="V39" s="8" t="str">
        <f t="shared" si="17"/>
        <v>#DIV/0!</v>
      </c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</row>
    <row r="40">
      <c r="A40" s="23"/>
      <c r="B40" s="17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</row>
    <row r="41">
      <c r="A41" s="23" t="s">
        <v>72</v>
      </c>
      <c r="B41" s="6">
        <f t="shared" ref="B41:B42" si="19">OFFSET($B41,0,1)</f>
        <v>33.70669467</v>
      </c>
      <c r="C41" s="6">
        <f t="shared" ref="C41:V41" si="18">C$39*100</f>
        <v>33.70669467</v>
      </c>
      <c r="D41" s="6">
        <f t="shared" si="18"/>
        <v>72.63722873</v>
      </c>
      <c r="E41" s="6">
        <f t="shared" si="18"/>
        <v>75.28113937</v>
      </c>
      <c r="F41" s="6">
        <f t="shared" si="18"/>
        <v>65.92786526</v>
      </c>
      <c r="G41" s="6" t="str">
        <f t="shared" si="18"/>
        <v>#DIV/0!</v>
      </c>
      <c r="H41" s="6" t="str">
        <f t="shared" si="18"/>
        <v>#DIV/0!</v>
      </c>
      <c r="I41" s="6" t="str">
        <f t="shared" si="18"/>
        <v>#DIV/0!</v>
      </c>
      <c r="J41" s="6" t="str">
        <f t="shared" si="18"/>
        <v>#DIV/0!</v>
      </c>
      <c r="K41" s="6" t="str">
        <f t="shared" si="18"/>
        <v>#DIV/0!</v>
      </c>
      <c r="L41" s="6" t="str">
        <f t="shared" si="18"/>
        <v>#DIV/0!</v>
      </c>
      <c r="M41" s="6" t="str">
        <f t="shared" si="18"/>
        <v>#DIV/0!</v>
      </c>
      <c r="N41" s="6" t="str">
        <f t="shared" si="18"/>
        <v>#DIV/0!</v>
      </c>
      <c r="O41" s="6" t="str">
        <f t="shared" si="18"/>
        <v>#DIV/0!</v>
      </c>
      <c r="P41" s="6" t="str">
        <f t="shared" si="18"/>
        <v>#DIV/0!</v>
      </c>
      <c r="Q41" s="6" t="str">
        <f t="shared" si="18"/>
        <v>#DIV/0!</v>
      </c>
      <c r="R41" s="6" t="str">
        <f t="shared" si="18"/>
        <v>#DIV/0!</v>
      </c>
      <c r="S41" s="6" t="str">
        <f t="shared" si="18"/>
        <v>#DIV/0!</v>
      </c>
      <c r="T41" s="6" t="str">
        <f t="shared" si="18"/>
        <v>#DIV/0!</v>
      </c>
      <c r="U41" s="6" t="str">
        <f t="shared" si="18"/>
        <v>#DIV/0!</v>
      </c>
      <c r="V41" s="6" t="str">
        <f t="shared" si="18"/>
        <v>#DIV/0!</v>
      </c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</row>
    <row r="42">
      <c r="A42" s="23" t="s">
        <v>73</v>
      </c>
      <c r="B42" s="33">
        <f t="shared" si="19"/>
        <v>4755.003284</v>
      </c>
      <c r="C42" s="34">
        <f t="shared" ref="C42:V42" si="20">C$41*SUM(C$26:F$26)</f>
        <v>4755.003284</v>
      </c>
      <c r="D42" s="34">
        <f t="shared" si="20"/>
        <v>10166.4479</v>
      </c>
      <c r="E42" s="34">
        <f t="shared" si="20"/>
        <v>10158.96348</v>
      </c>
      <c r="F42" s="34">
        <f t="shared" si="20"/>
        <v>8157.970068</v>
      </c>
      <c r="G42" s="34" t="str">
        <f t="shared" si="20"/>
        <v>#DIV/0!</v>
      </c>
      <c r="H42" s="34" t="str">
        <f t="shared" si="20"/>
        <v>#DIV/0!</v>
      </c>
      <c r="I42" s="34" t="str">
        <f t="shared" si="20"/>
        <v>#DIV/0!</v>
      </c>
      <c r="J42" s="34" t="str">
        <f t="shared" si="20"/>
        <v>#DIV/0!</v>
      </c>
      <c r="K42" s="34" t="str">
        <f t="shared" si="20"/>
        <v>#DIV/0!</v>
      </c>
      <c r="L42" s="34" t="str">
        <f t="shared" si="20"/>
        <v>#DIV/0!</v>
      </c>
      <c r="M42" s="34" t="str">
        <f t="shared" si="20"/>
        <v>#DIV/0!</v>
      </c>
      <c r="N42" s="34" t="str">
        <f t="shared" si="20"/>
        <v>#DIV/0!</v>
      </c>
      <c r="O42" s="34" t="str">
        <f t="shared" si="20"/>
        <v>#DIV/0!</v>
      </c>
      <c r="P42" s="34" t="str">
        <f t="shared" si="20"/>
        <v>#DIV/0!</v>
      </c>
      <c r="Q42" s="34" t="str">
        <f t="shared" si="20"/>
        <v>#DIV/0!</v>
      </c>
      <c r="R42" s="34" t="str">
        <f t="shared" si="20"/>
        <v>#DIV/0!</v>
      </c>
      <c r="S42" s="34" t="str">
        <f t="shared" si="20"/>
        <v>#DIV/0!</v>
      </c>
      <c r="T42" s="34" t="str">
        <f t="shared" si="20"/>
        <v>#DIV/0!</v>
      </c>
      <c r="U42" s="34" t="str">
        <f t="shared" si="20"/>
        <v>#DIV/0!</v>
      </c>
      <c r="V42" s="34" t="str">
        <f t="shared" si="20"/>
        <v>#DIV/0!</v>
      </c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</row>
    <row r="43">
      <c r="A43" s="23" t="s">
        <v>74</v>
      </c>
      <c r="B43" s="8">
        <f t="shared" ref="B43:V43" si="21">(B$42-B$3)/ABS(B$3)</f>
        <v>2.561800213</v>
      </c>
      <c r="C43" s="8">
        <f t="shared" si="21"/>
        <v>2.433215367</v>
      </c>
      <c r="D43" s="8">
        <f t="shared" si="21"/>
        <v>8.545960467</v>
      </c>
      <c r="E43" s="8">
        <f t="shared" si="21"/>
        <v>9.058379684</v>
      </c>
      <c r="F43" s="8">
        <f t="shared" si="21"/>
        <v>9.526412991</v>
      </c>
      <c r="G43" s="8" t="str">
        <f t="shared" si="21"/>
        <v>#DIV/0!</v>
      </c>
      <c r="H43" s="8" t="str">
        <f t="shared" si="21"/>
        <v>#DIV/0!</v>
      </c>
      <c r="I43" s="8" t="str">
        <f t="shared" si="21"/>
        <v>#DIV/0!</v>
      </c>
      <c r="J43" s="8" t="str">
        <f t="shared" si="21"/>
        <v>#DIV/0!</v>
      </c>
      <c r="K43" s="8" t="str">
        <f t="shared" si="21"/>
        <v>#DIV/0!</v>
      </c>
      <c r="L43" s="8" t="str">
        <f t="shared" si="21"/>
        <v>#DIV/0!</v>
      </c>
      <c r="M43" s="8" t="str">
        <f t="shared" si="21"/>
        <v>#DIV/0!</v>
      </c>
      <c r="N43" s="8" t="str">
        <f t="shared" si="21"/>
        <v>#DIV/0!</v>
      </c>
      <c r="O43" s="8" t="str">
        <f t="shared" si="21"/>
        <v>#DIV/0!</v>
      </c>
      <c r="P43" s="8" t="str">
        <f t="shared" si="21"/>
        <v>#DIV/0!</v>
      </c>
      <c r="Q43" s="8" t="str">
        <f t="shared" si="21"/>
        <v>#DIV/0!</v>
      </c>
      <c r="R43" s="8" t="str">
        <f t="shared" si="21"/>
        <v>#DIV/0!</v>
      </c>
      <c r="S43" s="8" t="str">
        <f t="shared" si="21"/>
        <v>#DIV/0!</v>
      </c>
      <c r="T43" s="8" t="str">
        <f t="shared" si="21"/>
        <v>#DIV/0!</v>
      </c>
      <c r="U43" s="8" t="str">
        <f t="shared" si="21"/>
        <v>#DIV/0!</v>
      </c>
      <c r="V43" s="8" t="str">
        <f t="shared" si="21"/>
        <v>#DIV/0!</v>
      </c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0.13"/>
    <col customWidth="1" min="2" max="22" width="19.5"/>
    <col customWidth="1" min="23" max="41" width="2.0"/>
  </cols>
  <sheetData>
    <row r="1">
      <c r="A1" s="3" t="s">
        <v>15</v>
      </c>
      <c r="B1" s="4" t="s">
        <v>16</v>
      </c>
      <c r="C1" s="7">
        <f t="array" ref="C1">IF(C$7="Local Currency",1,_xlfn.XLOOKUP(C$2,OFFSET(Dashboard!$A:$A,0,MATCH(C$7,Dashboard!$1:$1,0)-1),OFFSET(Dashboard!$A:$A,0,MATCH(C$7,Dashboard!$1:$1,0))))</f>
        <v>1</v>
      </c>
      <c r="D1" s="7">
        <f t="array" ref="D1">IF(D$7="Local Currency",1,_xlfn.XLOOKUP(D$2,OFFSET(Dashboard!$A:$A,0,MATCH(D$7,Dashboard!$1:$1,0)-1),OFFSET(Dashboard!$A:$A,0,MATCH(D$7,Dashboard!$1:$1,0))))</f>
        <v>1</v>
      </c>
      <c r="E1" s="7">
        <f t="array" ref="E1">IF(E$7="Local Currency",1,_xlfn.XLOOKUP(E$2,OFFSET(Dashboard!$A:$A,0,MATCH(E$7,Dashboard!$1:$1,0)-1),OFFSET(Dashboard!$A:$A,0,MATCH(E$7,Dashboard!$1:$1,0))))</f>
        <v>1</v>
      </c>
      <c r="F1" s="7">
        <f t="array" ref="F1">IF(F$7="Local Currency",1,_xlfn.XLOOKUP(F$2,OFFSET(Dashboard!$A:$A,0,MATCH(F$7,Dashboard!$1:$1,0)-1),OFFSET(Dashboard!$A:$A,0,MATCH(F$7,Dashboard!$1:$1,0))))</f>
        <v>1</v>
      </c>
      <c r="G1" s="7">
        <f t="array" ref="G1">IF(G$7="Local Currency",1,_xlfn.XLOOKUP(G$2,OFFSET(Dashboard!$A:$A,0,MATCH(G$7,Dashboard!$1:$1,0)-1),OFFSET(Dashboard!$A:$A,0,MATCH(G$7,Dashboard!$1:$1,0))))</f>
        <v>1</v>
      </c>
      <c r="H1" s="7">
        <f t="array" ref="H1">IF(H$7="Local Currency",1,_xlfn.XLOOKUP(H$2,OFFSET(Dashboard!$A:$A,0,MATCH(H$7,Dashboard!$1:$1,0)-1),OFFSET(Dashboard!$A:$A,0,MATCH(H$7,Dashboard!$1:$1,0))))</f>
        <v>1</v>
      </c>
      <c r="I1" s="7">
        <f t="array" ref="I1">IF(I$7="Local Currency",1,_xlfn.XLOOKUP(I$2,OFFSET(Dashboard!$A:$A,0,MATCH(I$7,Dashboard!$1:$1,0)-1),OFFSET(Dashboard!$A:$A,0,MATCH(I$7,Dashboard!$1:$1,0))))</f>
        <v>1</v>
      </c>
      <c r="J1" s="7">
        <f t="array" ref="J1">IF(J$7="Local Currency",1,_xlfn.XLOOKUP(J$2,OFFSET(Dashboard!$A:$A,0,MATCH(J$7,Dashboard!$1:$1,0)-1),OFFSET(Dashboard!$A:$A,0,MATCH(J$7,Dashboard!$1:$1,0))))</f>
        <v>1</v>
      </c>
      <c r="K1" s="7">
        <f t="array" ref="K1">IF(K$7="Local Currency",1,_xlfn.XLOOKUP(K$2,OFFSET(Dashboard!$A:$A,0,MATCH(K$7,Dashboard!$1:$1,0)-1),OFFSET(Dashboard!$A:$A,0,MATCH(K$7,Dashboard!$1:$1,0))))</f>
        <v>1</v>
      </c>
      <c r="L1" s="7">
        <f t="array" ref="L1">IF(L$7="Local Currency",1,_xlfn.XLOOKUP(L$2,OFFSET(Dashboard!$A:$A,0,MATCH(L$7,Dashboard!$1:$1,0)-1),OFFSET(Dashboard!$A:$A,0,MATCH(L$7,Dashboard!$1:$1,0))))</f>
        <v>1</v>
      </c>
      <c r="M1" s="7">
        <f t="array" ref="M1">IF(M$7="Local Currency",1,_xlfn.XLOOKUP(M$2,OFFSET(Dashboard!$A:$A,0,MATCH(M$7,Dashboard!$1:$1,0)-1),OFFSET(Dashboard!$A:$A,0,MATCH(M$7,Dashboard!$1:$1,0))))</f>
        <v>1</v>
      </c>
      <c r="N1" s="7">
        <f t="array" ref="N1">IF(N$7="Local Currency",1,_xlfn.XLOOKUP(N$2,OFFSET(Dashboard!$A:$A,0,MATCH(N$7,Dashboard!$1:$1,0)-1),OFFSET(Dashboard!$A:$A,0,MATCH(N$7,Dashboard!$1:$1,0))))</f>
        <v>1</v>
      </c>
      <c r="O1" s="7">
        <f t="array" ref="O1">IF(O$7="Local Currency",1,_xlfn.XLOOKUP(O$2,OFFSET(Dashboard!$A:$A,0,MATCH(O$7,Dashboard!$1:$1,0)-1),OFFSET(Dashboard!$A:$A,0,MATCH(O$7,Dashboard!$1:$1,0))))</f>
        <v>1</v>
      </c>
      <c r="P1" s="7">
        <f t="array" ref="P1">IF(P$7="Local Currency",1,_xlfn.XLOOKUP(P$2,OFFSET(Dashboard!$A:$A,0,MATCH(P$7,Dashboard!$1:$1,0)-1),OFFSET(Dashboard!$A:$A,0,MATCH(P$7,Dashboard!$1:$1,0))))</f>
        <v>1</v>
      </c>
      <c r="Q1" s="7">
        <f t="array" ref="Q1">IF(Q$7="Local Currency",1,_xlfn.XLOOKUP(Q$2,OFFSET(Dashboard!$A:$A,0,MATCH(Q$7,Dashboard!$1:$1,0)-1),OFFSET(Dashboard!$A:$A,0,MATCH(Q$7,Dashboard!$1:$1,0))))</f>
        <v>1</v>
      </c>
      <c r="R1" s="7">
        <f t="array" ref="R1">IF(R$7="Local Currency",1,_xlfn.XLOOKUP(R$2,OFFSET(Dashboard!$A:$A,0,MATCH(R$7,Dashboard!$1:$1,0)-1),OFFSET(Dashboard!$A:$A,0,MATCH(R$7,Dashboard!$1:$1,0))))</f>
        <v>1</v>
      </c>
      <c r="S1" s="7">
        <f t="array" ref="S1">IF(S$7="Local Currency",1,_xlfn.XLOOKUP(S$2,OFFSET(Dashboard!$A:$A,0,MATCH(S$7,Dashboard!$1:$1,0)-1),OFFSET(Dashboard!$A:$A,0,MATCH(S$7,Dashboard!$1:$1,0))))</f>
        <v>1</v>
      </c>
      <c r="T1" s="7">
        <f t="array" ref="T1">IF(T$7="Local Currency",1,_xlfn.XLOOKUP(T$2,OFFSET(Dashboard!$A:$A,0,MATCH(T$7,Dashboard!$1:$1,0)-1),OFFSET(Dashboard!$A:$A,0,MATCH(T$7,Dashboard!$1:$1,0))))</f>
        <v>1</v>
      </c>
      <c r="U1" s="7">
        <f t="array" ref="U1">IF(U$7="Local Currency",1,_xlfn.XLOOKUP(U$2,OFFSET(Dashboard!$A:$A,0,MATCH(U$7,Dashboard!$1:$1,0)-1),OFFSET(Dashboard!$A:$A,0,MATCH(U$7,Dashboard!$1:$1,0))))</f>
        <v>1</v>
      </c>
      <c r="V1" s="7">
        <f t="array" ref="V1">IF(V$7="Local Currency",1,_xlfn.XLOOKUP(V$2,OFFSET(Dashboard!$A:$A,0,MATCH(V$7,Dashboard!$1:$1,0)-1),OFFSET(Dashboard!$A:$A,0,MATCH(V$7,Dashboard!$1:$1,0))))</f>
        <v>1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10" t="s">
        <v>18</v>
      </c>
      <c r="B2" s="11" t="s">
        <v>19</v>
      </c>
      <c r="C2" s="12" t="s">
        <v>20</v>
      </c>
      <c r="D2" s="11" t="s">
        <v>21</v>
      </c>
      <c r="E2" s="11" t="s">
        <v>22</v>
      </c>
      <c r="F2" s="11" t="s">
        <v>23</v>
      </c>
      <c r="G2" s="12" t="s">
        <v>24</v>
      </c>
      <c r="H2" s="11" t="s">
        <v>25</v>
      </c>
      <c r="I2" s="11" t="s">
        <v>26</v>
      </c>
      <c r="J2" s="11" t="s">
        <v>27</v>
      </c>
      <c r="K2" s="12" t="s">
        <v>28</v>
      </c>
      <c r="L2" s="12" t="s">
        <v>29</v>
      </c>
      <c r="M2" s="12" t="s">
        <v>30</v>
      </c>
      <c r="N2" s="12" t="s">
        <v>31</v>
      </c>
      <c r="O2" s="12" t="s">
        <v>32</v>
      </c>
      <c r="P2" s="12" t="s">
        <v>33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38</v>
      </c>
      <c r="V2" s="12" t="s">
        <v>39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>
      <c r="A3" s="4" t="s">
        <v>40</v>
      </c>
      <c r="B3" s="13">
        <v>1335.0</v>
      </c>
      <c r="C3" s="13">
        <v>1385.0</v>
      </c>
      <c r="D3" s="13">
        <v>1065.0</v>
      </c>
      <c r="E3" s="13">
        <v>1010.0</v>
      </c>
      <c r="F3" s="13">
        <v>775.0</v>
      </c>
      <c r="G3" s="13">
        <v>705.0</v>
      </c>
      <c r="H3" s="13">
        <v>685.0</v>
      </c>
      <c r="I3" s="13">
        <v>670.0</v>
      </c>
      <c r="J3" s="13">
        <v>690.0</v>
      </c>
      <c r="K3" s="13">
        <v>715.0</v>
      </c>
      <c r="L3" s="13">
        <v>710.0</v>
      </c>
      <c r="M3" s="13">
        <v>765.0</v>
      </c>
      <c r="N3" s="13">
        <v>625.0</v>
      </c>
      <c r="O3" s="13">
        <v>570.0</v>
      </c>
      <c r="P3" s="13">
        <v>505.0</v>
      </c>
      <c r="Q3" s="13">
        <v>615.0</v>
      </c>
      <c r="R3" s="13">
        <v>550.0</v>
      </c>
      <c r="S3" s="13">
        <v>515.0</v>
      </c>
      <c r="T3" s="13">
        <v>595.0</v>
      </c>
      <c r="U3" s="13">
        <v>490.0</v>
      </c>
      <c r="V3" s="13">
        <v>595.0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>
      <c r="A5" s="14" t="s">
        <v>41</v>
      </c>
      <c r="B5" s="16">
        <f>B$3*OFFSET(B$5,0,1)/OFFSET(B$3,0,1)</f>
        <v>2427178984665</v>
      </c>
      <c r="C5" s="16">
        <f t="shared" ref="C5:V5" si="1">C$19*C$3</f>
        <v>2518084564615</v>
      </c>
      <c r="D5" s="16">
        <f t="shared" si="1"/>
        <v>1936684063785</v>
      </c>
      <c r="E5" s="16">
        <f t="shared" si="1"/>
        <v>1836493590860</v>
      </c>
      <c r="F5" s="16">
        <f t="shared" si="1"/>
        <v>1409291726950</v>
      </c>
      <c r="G5" s="16">
        <f t="shared" si="1"/>
        <v>1281580755315</v>
      </c>
      <c r="H5" s="16">
        <f t="shared" si="1"/>
        <v>1245773686145</v>
      </c>
      <c r="I5" s="16">
        <f t="shared" si="1"/>
        <v>1218278165400</v>
      </c>
      <c r="J5" s="16">
        <f t="shared" si="1"/>
        <v>1254740877600</v>
      </c>
      <c r="K5" s="16">
        <f t="shared" si="1"/>
        <v>1300073125065</v>
      </c>
      <c r="L5" s="16">
        <f t="shared" si="1"/>
        <v>1291061740070</v>
      </c>
      <c r="M5" s="16">
        <f t="shared" si="1"/>
        <v>1390984219890</v>
      </c>
      <c r="N5" s="16">
        <f t="shared" si="1"/>
        <v>1136544136250</v>
      </c>
      <c r="O5" s="16">
        <f t="shared" si="1"/>
        <v>1036418339730</v>
      </c>
      <c r="P5" s="16">
        <f t="shared" si="1"/>
        <v>918284327535</v>
      </c>
      <c r="Q5" s="16">
        <f t="shared" si="1"/>
        <v>1118124564645</v>
      </c>
      <c r="R5" s="16">
        <f t="shared" si="1"/>
        <v>1000274532950</v>
      </c>
      <c r="S5" s="16">
        <f t="shared" si="1"/>
        <v>937082125645</v>
      </c>
      <c r="T5" s="16">
        <f t="shared" si="1"/>
        <v>1080863816585</v>
      </c>
      <c r="U5" s="16">
        <f t="shared" si="1"/>
        <v>891089235890</v>
      </c>
      <c r="V5" s="16">
        <f t="shared" si="1"/>
        <v>1082036929295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</row>
    <row r="7">
      <c r="A7" s="4" t="s">
        <v>42</v>
      </c>
      <c r="B7" s="19" t="str">
        <f t="array" ref="B7">IF(COUNTIF($C7:$7,INDEX($C7:$7,MATCH(TRUE,$C7:$7&lt;&gt;"",0)))=COUNTIF($C7:$7,"&lt;&gt;"),"All "&amp;INDEX($C7:$7,MATCH(TRUE,$C7:$7&lt;&gt;"",0)),INDEX($C7:$7,MATCH(MAX(INDEX(COUNTIF($C7:$7,$C7:$7),0)),INDEX(COUNTIF($C7:$7,$C7:$7),0),0))&amp;" Dominant")</f>
        <v>All Local Currency</v>
      </c>
      <c r="C7" s="19" t="s">
        <v>43</v>
      </c>
      <c r="D7" s="19" t="s">
        <v>43</v>
      </c>
      <c r="E7" s="19" t="s">
        <v>43</v>
      </c>
      <c r="F7" s="19" t="s">
        <v>43</v>
      </c>
      <c r="G7" s="19" t="s">
        <v>43</v>
      </c>
      <c r="H7" s="19" t="s">
        <v>43</v>
      </c>
      <c r="I7" s="19" t="s">
        <v>43</v>
      </c>
      <c r="J7" s="19" t="s">
        <v>43</v>
      </c>
      <c r="K7" s="19" t="s">
        <v>43</v>
      </c>
      <c r="L7" s="19" t="s">
        <v>43</v>
      </c>
      <c r="M7" s="19" t="s">
        <v>43</v>
      </c>
      <c r="N7" s="19" t="s">
        <v>43</v>
      </c>
      <c r="O7" s="19" t="s">
        <v>43</v>
      </c>
      <c r="P7" s="19" t="s">
        <v>43</v>
      </c>
      <c r="Q7" s="19" t="s">
        <v>43</v>
      </c>
      <c r="R7" s="19" t="s">
        <v>43</v>
      </c>
      <c r="S7" s="19" t="s">
        <v>43</v>
      </c>
      <c r="T7" s="19" t="s">
        <v>43</v>
      </c>
      <c r="U7" s="19" t="s">
        <v>43</v>
      </c>
      <c r="V7" s="19" t="s">
        <v>43</v>
      </c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</row>
    <row r="9">
      <c r="A9" s="21" t="s">
        <v>44</v>
      </c>
      <c r="B9" s="11" t="str">
        <f t="shared" ref="B9:V9" si="2">B$2</f>
        <v>Current</v>
      </c>
      <c r="C9" s="11" t="str">
        <f t="shared" si="2"/>
        <v>FY2025</v>
      </c>
      <c r="D9" s="11" t="str">
        <f t="shared" si="2"/>
        <v>9M2025</v>
      </c>
      <c r="E9" s="11" t="str">
        <f t="shared" si="2"/>
        <v>1H2025</v>
      </c>
      <c r="F9" s="11" t="str">
        <f t="shared" si="2"/>
        <v>1Q2025</v>
      </c>
      <c r="G9" s="11" t="str">
        <f t="shared" si="2"/>
        <v>FY2024</v>
      </c>
      <c r="H9" s="11" t="str">
        <f t="shared" si="2"/>
        <v>9M2024</v>
      </c>
      <c r="I9" s="11" t="str">
        <f t="shared" si="2"/>
        <v>1H2024</v>
      </c>
      <c r="J9" s="11" t="str">
        <f t="shared" si="2"/>
        <v>1Q2024</v>
      </c>
      <c r="K9" s="11" t="str">
        <f t="shared" si="2"/>
        <v>FY2023</v>
      </c>
      <c r="L9" s="11" t="str">
        <f t="shared" si="2"/>
        <v>9M2023</v>
      </c>
      <c r="M9" s="11" t="str">
        <f t="shared" si="2"/>
        <v>1H2023</v>
      </c>
      <c r="N9" s="11" t="str">
        <f t="shared" si="2"/>
        <v>1Q2023</v>
      </c>
      <c r="O9" s="11" t="str">
        <f t="shared" si="2"/>
        <v>FY2022</v>
      </c>
      <c r="P9" s="11" t="str">
        <f t="shared" si="2"/>
        <v>9M2022</v>
      </c>
      <c r="Q9" s="11" t="str">
        <f t="shared" si="2"/>
        <v>1H2022</v>
      </c>
      <c r="R9" s="11" t="str">
        <f t="shared" si="2"/>
        <v>1Q2022</v>
      </c>
      <c r="S9" s="11" t="str">
        <f t="shared" si="2"/>
        <v>FY2021</v>
      </c>
      <c r="T9" s="11" t="str">
        <f t="shared" si="2"/>
        <v>9M2021</v>
      </c>
      <c r="U9" s="11" t="str">
        <f t="shared" si="2"/>
        <v>1H2021</v>
      </c>
      <c r="V9" s="11" t="str">
        <f t="shared" si="2"/>
        <v>1Q2021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>
      <c r="A10" s="4" t="s">
        <v>48</v>
      </c>
      <c r="B10" s="14"/>
      <c r="C10" s="16">
        <v>9.29960416E11</v>
      </c>
      <c r="D10" s="16">
        <v>6.60240192E11</v>
      </c>
      <c r="E10" s="16">
        <v>4.15550074E11</v>
      </c>
      <c r="F10" s="16">
        <v>2.03271873E11</v>
      </c>
      <c r="G10" s="16">
        <v>8.24595836E11</v>
      </c>
      <c r="H10" s="16">
        <v>5.85823826E11</v>
      </c>
      <c r="I10" s="16">
        <v>3.60261682E11</v>
      </c>
      <c r="J10" s="16">
        <v>1.75637819E11</v>
      </c>
      <c r="K10" s="16">
        <v>7.3520494E11</v>
      </c>
      <c r="L10" s="16">
        <v>5.48162124E11</v>
      </c>
      <c r="M10" s="16">
        <v>3.66960224E11</v>
      </c>
      <c r="N10" s="16">
        <v>1.91151747E11</v>
      </c>
      <c r="O10" s="16">
        <v>7.26573259E11</v>
      </c>
      <c r="P10" s="16">
        <v>5.0833999E11</v>
      </c>
      <c r="Q10" s="16">
        <v>3.02336582E11</v>
      </c>
      <c r="R10" s="16">
        <v>1.50046126E11</v>
      </c>
      <c r="S10" s="16">
        <v>5.1683695E11</v>
      </c>
      <c r="T10" s="16">
        <v>3.47772241E11</v>
      </c>
      <c r="U10" s="16">
        <v>2.33284768E11</v>
      </c>
      <c r="V10" s="16">
        <v>1.19923887E11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>
      <c r="A11" s="4" t="s">
        <v>49</v>
      </c>
      <c r="B11" s="14"/>
      <c r="C11" s="16">
        <v>2.5651272E11</v>
      </c>
      <c r="D11" s="16">
        <v>1.9029675E11</v>
      </c>
      <c r="E11" s="16">
        <v>1.13846685E11</v>
      </c>
      <c r="F11" s="16">
        <v>5.1170928E10</v>
      </c>
      <c r="G11" s="16">
        <v>2.12216227E11</v>
      </c>
      <c r="H11" s="16">
        <v>1.48024228E11</v>
      </c>
      <c r="I11" s="16">
        <v>8.0687656E10</v>
      </c>
      <c r="J11" s="16">
        <v>3.8387797E10</v>
      </c>
      <c r="K11" s="16">
        <v>1.90854844E11</v>
      </c>
      <c r="L11" s="16">
        <v>1.41942937E11</v>
      </c>
      <c r="M11" s="16">
        <v>7.8917489E10</v>
      </c>
      <c r="N11" s="16">
        <v>4.2333996E10</v>
      </c>
      <c r="O11" s="16">
        <v>1.61724767E11</v>
      </c>
      <c r="P11" s="16">
        <v>1.08895525E11</v>
      </c>
      <c r="Q11" s="16">
        <v>4.5415809E10</v>
      </c>
      <c r="R11" s="16">
        <v>3.5264224E10</v>
      </c>
      <c r="S11" s="16">
        <v>6.0056174E10</v>
      </c>
      <c r="T11" s="16">
        <v>1.6596355E10</v>
      </c>
      <c r="U11" s="16">
        <v>1.4832433E10</v>
      </c>
      <c r="V11" s="16">
        <v>1.7891287E10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>
      <c r="A12" s="17"/>
      <c r="B12" s="14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</row>
    <row r="13">
      <c r="A13" s="23" t="s">
        <v>50</v>
      </c>
      <c r="B13" s="14"/>
      <c r="C13" s="25">
        <f t="shared" ref="C13:V13" si="3">IF(LEFT(C$2,2)="1Q",C$10,C$10-D$10)</f>
        <v>269720224000</v>
      </c>
      <c r="D13" s="25">
        <f t="shared" si="3"/>
        <v>244690118000</v>
      </c>
      <c r="E13" s="25">
        <f t="shared" si="3"/>
        <v>212278201000</v>
      </c>
      <c r="F13" s="25">
        <f t="shared" si="3"/>
        <v>203271873000</v>
      </c>
      <c r="G13" s="25">
        <f t="shared" si="3"/>
        <v>238772010000</v>
      </c>
      <c r="H13" s="25">
        <f t="shared" si="3"/>
        <v>225562144000</v>
      </c>
      <c r="I13" s="25">
        <f t="shared" si="3"/>
        <v>184623863000</v>
      </c>
      <c r="J13" s="25">
        <f t="shared" si="3"/>
        <v>175637819000</v>
      </c>
      <c r="K13" s="25">
        <f t="shared" si="3"/>
        <v>187042816000</v>
      </c>
      <c r="L13" s="25">
        <f t="shared" si="3"/>
        <v>181201900000</v>
      </c>
      <c r="M13" s="25">
        <f t="shared" si="3"/>
        <v>175808477000</v>
      </c>
      <c r="N13" s="25">
        <f t="shared" si="3"/>
        <v>191151747000</v>
      </c>
      <c r="O13" s="25">
        <f t="shared" si="3"/>
        <v>218233269000</v>
      </c>
      <c r="P13" s="25">
        <f t="shared" si="3"/>
        <v>206003408000</v>
      </c>
      <c r="Q13" s="25">
        <f t="shared" si="3"/>
        <v>152290456000</v>
      </c>
      <c r="R13" s="25">
        <f t="shared" si="3"/>
        <v>150046126000</v>
      </c>
      <c r="S13" s="25">
        <f t="shared" si="3"/>
        <v>169064709000</v>
      </c>
      <c r="T13" s="25">
        <f t="shared" si="3"/>
        <v>114487473000</v>
      </c>
      <c r="U13" s="25">
        <f t="shared" si="3"/>
        <v>113360881000</v>
      </c>
      <c r="V13" s="25">
        <f t="shared" si="3"/>
        <v>119923887000</v>
      </c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</row>
    <row r="14">
      <c r="A14" s="23" t="s">
        <v>52</v>
      </c>
      <c r="B14" s="14"/>
      <c r="C14" s="26">
        <f t="shared" ref="C14:V14" si="4">(C$10-G$10)/ABS(G$10)</f>
        <v>0.12777724</v>
      </c>
      <c r="D14" s="26">
        <f t="shared" si="4"/>
        <v>0.1270285753</v>
      </c>
      <c r="E14" s="26">
        <f t="shared" si="4"/>
        <v>0.1534673121</v>
      </c>
      <c r="F14" s="26">
        <f t="shared" si="4"/>
        <v>0.1573354427</v>
      </c>
      <c r="G14" s="26">
        <f t="shared" si="4"/>
        <v>0.1215863647</v>
      </c>
      <c r="H14" s="26">
        <f t="shared" si="4"/>
        <v>0.06870540731</v>
      </c>
      <c r="I14" s="26">
        <f t="shared" si="4"/>
        <v>-0.01825413645</v>
      </c>
      <c r="J14" s="26">
        <f t="shared" si="4"/>
        <v>-0.08116027315</v>
      </c>
      <c r="K14" s="26">
        <f t="shared" si="4"/>
        <v>0.01187998718</v>
      </c>
      <c r="L14" s="26">
        <f t="shared" si="4"/>
        <v>0.07833759843</v>
      </c>
      <c r="M14" s="26">
        <f t="shared" si="4"/>
        <v>0.213747346</v>
      </c>
      <c r="N14" s="26">
        <f t="shared" si="4"/>
        <v>0.2739532309</v>
      </c>
      <c r="O14" s="26">
        <f t="shared" si="4"/>
        <v>0.4058074969</v>
      </c>
      <c r="P14" s="26">
        <f t="shared" si="4"/>
        <v>0.4617037534</v>
      </c>
      <c r="Q14" s="26">
        <f t="shared" si="4"/>
        <v>0.2959979539</v>
      </c>
      <c r="R14" s="26">
        <f t="shared" si="4"/>
        <v>0.2511779742</v>
      </c>
      <c r="S14" s="26" t="str">
        <f t="shared" si="4"/>
        <v>#DIV/0!</v>
      </c>
      <c r="T14" s="26" t="str">
        <f t="shared" si="4"/>
        <v>#DIV/0!</v>
      </c>
      <c r="U14" s="26" t="str">
        <f t="shared" si="4"/>
        <v>#DIV/0!</v>
      </c>
      <c r="V14" s="26" t="str">
        <f t="shared" si="4"/>
        <v>#DIV/0!</v>
      </c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</row>
    <row r="15">
      <c r="A15" s="17"/>
      <c r="B15" s="14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</row>
    <row r="16">
      <c r="A16" s="23" t="s">
        <v>53</v>
      </c>
      <c r="B16" s="14"/>
      <c r="C16" s="25">
        <f t="shared" ref="C16:V16" si="5">IF(LEFT(C$2,2)="1Q",C$11,C$11-D$11)</f>
        <v>66215970000</v>
      </c>
      <c r="D16" s="25">
        <f t="shared" si="5"/>
        <v>76450065000</v>
      </c>
      <c r="E16" s="25">
        <f t="shared" si="5"/>
        <v>62675757000</v>
      </c>
      <c r="F16" s="25">
        <f t="shared" si="5"/>
        <v>51170928000</v>
      </c>
      <c r="G16" s="25">
        <f t="shared" si="5"/>
        <v>64191999000</v>
      </c>
      <c r="H16" s="25">
        <f t="shared" si="5"/>
        <v>67336572000</v>
      </c>
      <c r="I16" s="25">
        <f t="shared" si="5"/>
        <v>42299859000</v>
      </c>
      <c r="J16" s="25">
        <f t="shared" si="5"/>
        <v>38387797000</v>
      </c>
      <c r="K16" s="25">
        <f t="shared" si="5"/>
        <v>48911907000</v>
      </c>
      <c r="L16" s="25">
        <f t="shared" si="5"/>
        <v>63025448000</v>
      </c>
      <c r="M16" s="25">
        <f t="shared" si="5"/>
        <v>36583493000</v>
      </c>
      <c r="N16" s="25">
        <f t="shared" si="5"/>
        <v>42333996000</v>
      </c>
      <c r="O16" s="25">
        <f t="shared" si="5"/>
        <v>52829242000</v>
      </c>
      <c r="P16" s="25">
        <f t="shared" si="5"/>
        <v>63479716000</v>
      </c>
      <c r="Q16" s="25">
        <f t="shared" si="5"/>
        <v>10151585000</v>
      </c>
      <c r="R16" s="25">
        <f t="shared" si="5"/>
        <v>35264224000</v>
      </c>
      <c r="S16" s="25">
        <f t="shared" si="5"/>
        <v>43459819000</v>
      </c>
      <c r="T16" s="25">
        <f t="shared" si="5"/>
        <v>1763922000</v>
      </c>
      <c r="U16" s="25">
        <f t="shared" si="5"/>
        <v>-3058854000</v>
      </c>
      <c r="V16" s="25">
        <f t="shared" si="5"/>
        <v>17891287000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>
      <c r="A17" s="23" t="s">
        <v>55</v>
      </c>
      <c r="B17" s="14"/>
      <c r="C17" s="26">
        <f t="shared" ref="C17:V17" si="6">(C$11-G$11)/ABS(G$11)</f>
        <v>0.208732827</v>
      </c>
      <c r="D17" s="26">
        <f t="shared" si="6"/>
        <v>0.2855783987</v>
      </c>
      <c r="E17" s="26">
        <f t="shared" si="6"/>
        <v>0.4109554131</v>
      </c>
      <c r="F17" s="26">
        <f t="shared" si="6"/>
        <v>0.3329998593</v>
      </c>
      <c r="G17" s="26">
        <f t="shared" si="6"/>
        <v>0.111924762</v>
      </c>
      <c r="H17" s="26">
        <f t="shared" si="6"/>
        <v>0.04284320959</v>
      </c>
      <c r="I17" s="26">
        <f t="shared" si="6"/>
        <v>0.0224306047</v>
      </c>
      <c r="J17" s="26">
        <f t="shared" si="6"/>
        <v>-0.09321584005</v>
      </c>
      <c r="K17" s="26">
        <f t="shared" si="6"/>
        <v>0.1801213107</v>
      </c>
      <c r="L17" s="26">
        <f t="shared" si="6"/>
        <v>0.3034781457</v>
      </c>
      <c r="M17" s="26">
        <f t="shared" si="6"/>
        <v>0.7376656001</v>
      </c>
      <c r="N17" s="26">
        <f t="shared" si="6"/>
        <v>0.2004800106</v>
      </c>
      <c r="O17" s="26">
        <f t="shared" si="6"/>
        <v>1.692891608</v>
      </c>
      <c r="P17" s="26">
        <f t="shared" si="6"/>
        <v>5.561412129</v>
      </c>
      <c r="Q17" s="26">
        <f t="shared" si="6"/>
        <v>2.061925781</v>
      </c>
      <c r="R17" s="26">
        <f t="shared" si="6"/>
        <v>0.9710277969</v>
      </c>
      <c r="S17" s="26" t="str">
        <f t="shared" si="6"/>
        <v>#DIV/0!</v>
      </c>
      <c r="T17" s="26" t="str">
        <f t="shared" si="6"/>
        <v>#DIV/0!</v>
      </c>
      <c r="U17" s="26" t="str">
        <f t="shared" si="6"/>
        <v>#DIV/0!</v>
      </c>
      <c r="V17" s="26" t="str">
        <f t="shared" si="6"/>
        <v>#DIV/0!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>
      <c r="A18" s="23"/>
      <c r="B18" s="17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>
      <c r="A19" s="4" t="s">
        <v>56</v>
      </c>
      <c r="B19" s="14"/>
      <c r="C19" s="24">
        <v>1.818111599E9</v>
      </c>
      <c r="D19" s="24">
        <v>1.818482689E9</v>
      </c>
      <c r="E19" s="24">
        <v>1.818310486E9</v>
      </c>
      <c r="F19" s="24">
        <v>1.818440938E9</v>
      </c>
      <c r="G19" s="24">
        <v>1.817845043E9</v>
      </c>
      <c r="H19" s="24">
        <v>1.818647717E9</v>
      </c>
      <c r="I19" s="24">
        <v>1.81832562E9</v>
      </c>
      <c r="J19" s="24">
        <v>1.81846504E9</v>
      </c>
      <c r="K19" s="24">
        <v>1.818284091E9</v>
      </c>
      <c r="L19" s="24">
        <v>1.818396817E9</v>
      </c>
      <c r="M19" s="24">
        <v>1.818280026E9</v>
      </c>
      <c r="N19" s="24">
        <v>1.818470618E9</v>
      </c>
      <c r="O19" s="24">
        <v>1.818277789E9</v>
      </c>
      <c r="P19" s="24">
        <v>1.818384807E9</v>
      </c>
      <c r="Q19" s="24">
        <v>1.818088723E9</v>
      </c>
      <c r="R19" s="24">
        <v>1.818680969E9</v>
      </c>
      <c r="S19" s="24">
        <v>1.819576943E9</v>
      </c>
      <c r="T19" s="24">
        <v>1.816577843E9</v>
      </c>
      <c r="U19" s="24">
        <v>1.818549461E9</v>
      </c>
      <c r="V19" s="24">
        <v>1.818549461E9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>
      <c r="A21" s="21" t="s">
        <v>57</v>
      </c>
      <c r="B21" s="11" t="str">
        <f t="shared" ref="B21:V21" si="7">B$2</f>
        <v>Current</v>
      </c>
      <c r="C21" s="11" t="str">
        <f t="shared" si="7"/>
        <v>FY2025</v>
      </c>
      <c r="D21" s="11" t="str">
        <f t="shared" si="7"/>
        <v>9M2025</v>
      </c>
      <c r="E21" s="11" t="str">
        <f t="shared" si="7"/>
        <v>1H2025</v>
      </c>
      <c r="F21" s="11" t="str">
        <f t="shared" si="7"/>
        <v>1Q2025</v>
      </c>
      <c r="G21" s="11" t="str">
        <f t="shared" si="7"/>
        <v>FY2024</v>
      </c>
      <c r="H21" s="11" t="str">
        <f t="shared" si="7"/>
        <v>9M2024</v>
      </c>
      <c r="I21" s="11" t="str">
        <f t="shared" si="7"/>
        <v>1H2024</v>
      </c>
      <c r="J21" s="11" t="str">
        <f t="shared" si="7"/>
        <v>1Q2024</v>
      </c>
      <c r="K21" s="11" t="str">
        <f t="shared" si="7"/>
        <v>FY2023</v>
      </c>
      <c r="L21" s="11" t="str">
        <f t="shared" si="7"/>
        <v>9M2023</v>
      </c>
      <c r="M21" s="11" t="str">
        <f t="shared" si="7"/>
        <v>1H2023</v>
      </c>
      <c r="N21" s="11" t="str">
        <f t="shared" si="7"/>
        <v>1Q2023</v>
      </c>
      <c r="O21" s="11" t="str">
        <f t="shared" si="7"/>
        <v>FY2022</v>
      </c>
      <c r="P21" s="11" t="str">
        <f t="shared" si="7"/>
        <v>9M2022</v>
      </c>
      <c r="Q21" s="11" t="str">
        <f t="shared" si="7"/>
        <v>1H2022</v>
      </c>
      <c r="R21" s="11" t="str">
        <f t="shared" si="7"/>
        <v>1Q2022</v>
      </c>
      <c r="S21" s="11" t="str">
        <f t="shared" si="7"/>
        <v>FY2021</v>
      </c>
      <c r="T21" s="11" t="str">
        <f t="shared" si="7"/>
        <v>9M2021</v>
      </c>
      <c r="U21" s="11" t="str">
        <f t="shared" si="7"/>
        <v>1H2021</v>
      </c>
      <c r="V21" s="11" t="str">
        <f t="shared" si="7"/>
        <v>1Q2021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>
      <c r="A22" s="4" t="s">
        <v>58</v>
      </c>
      <c r="B22" s="14"/>
      <c r="C22" s="24">
        <v>1.360801231E12</v>
      </c>
      <c r="D22" s="24">
        <v>1.34215948E12</v>
      </c>
      <c r="E22" s="24">
        <v>1.265709415E12</v>
      </c>
      <c r="F22" s="24">
        <v>1.328399319E12</v>
      </c>
      <c r="G22" s="24">
        <v>1.277228391E12</v>
      </c>
      <c r="H22" s="24">
        <v>1.257666157E12</v>
      </c>
      <c r="I22" s="24">
        <v>1.190106935E12</v>
      </c>
      <c r="J22" s="24">
        <v>1.261254651E12</v>
      </c>
      <c r="K22" s="24">
        <v>1.222866854E12</v>
      </c>
      <c r="L22" s="24">
        <v>1.213408389E12</v>
      </c>
      <c r="M22" s="24">
        <v>1.240883954E12</v>
      </c>
      <c r="N22" s="24">
        <v>1.204304183E12</v>
      </c>
      <c r="O22" s="24">
        <v>1.161970187E12</v>
      </c>
      <c r="P22" s="24">
        <v>1.131848849E12</v>
      </c>
      <c r="Q22" s="24">
        <v>1.110408454E12</v>
      </c>
      <c r="R22" s="24">
        <v>1.100256869E12</v>
      </c>
      <c r="S22" s="24">
        <v>1.064992645E12</v>
      </c>
      <c r="T22" s="24">
        <v>1.021532826E12</v>
      </c>
      <c r="U22" s="24">
        <v>1.019768905E12</v>
      </c>
      <c r="V22" s="24">
        <v>1.022827759E12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>
      <c r="A24" s="28" t="s">
        <v>59</v>
      </c>
      <c r="B24" s="29" t="str">
        <f t="shared" ref="B24:V24" si="8">B$2</f>
        <v>Current</v>
      </c>
      <c r="C24" s="11" t="str">
        <f t="shared" si="8"/>
        <v>FY2025</v>
      </c>
      <c r="D24" s="11" t="str">
        <f t="shared" si="8"/>
        <v>9M2025</v>
      </c>
      <c r="E24" s="11" t="str">
        <f t="shared" si="8"/>
        <v>1H2025</v>
      </c>
      <c r="F24" s="11" t="str">
        <f t="shared" si="8"/>
        <v>1Q2025</v>
      </c>
      <c r="G24" s="11" t="str">
        <f t="shared" si="8"/>
        <v>FY2024</v>
      </c>
      <c r="H24" s="11" t="str">
        <f t="shared" si="8"/>
        <v>9M2024</v>
      </c>
      <c r="I24" s="11" t="str">
        <f t="shared" si="8"/>
        <v>1H2024</v>
      </c>
      <c r="J24" s="11" t="str">
        <f t="shared" si="8"/>
        <v>1Q2024</v>
      </c>
      <c r="K24" s="11" t="str">
        <f t="shared" si="8"/>
        <v>FY2023</v>
      </c>
      <c r="L24" s="11" t="str">
        <f t="shared" si="8"/>
        <v>9M2023</v>
      </c>
      <c r="M24" s="11" t="str">
        <f t="shared" si="8"/>
        <v>1H2023</v>
      </c>
      <c r="N24" s="11" t="str">
        <f t="shared" si="8"/>
        <v>1Q2023</v>
      </c>
      <c r="O24" s="11" t="str">
        <f t="shared" si="8"/>
        <v>FY2022</v>
      </c>
      <c r="P24" s="11" t="str">
        <f t="shared" si="8"/>
        <v>9M2022</v>
      </c>
      <c r="Q24" s="11" t="str">
        <f t="shared" si="8"/>
        <v>1H2022</v>
      </c>
      <c r="R24" s="11" t="str">
        <f t="shared" si="8"/>
        <v>1Q2022</v>
      </c>
      <c r="S24" s="11" t="str">
        <f t="shared" si="8"/>
        <v>FY2021</v>
      </c>
      <c r="T24" s="11" t="str">
        <f t="shared" si="8"/>
        <v>9M2021</v>
      </c>
      <c r="U24" s="11" t="str">
        <f t="shared" si="8"/>
        <v>1H2021</v>
      </c>
      <c r="V24" s="11" t="str">
        <f t="shared" si="8"/>
        <v>1Q2021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>
      <c r="A25" s="30" t="s">
        <v>60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>
      <c r="A26" s="23" t="s">
        <v>62</v>
      </c>
      <c r="B26" s="14"/>
      <c r="C26" s="6">
        <f t="shared" ref="C26:V26" si="9">C$11*C$1/C$19</f>
        <v>141.0874449</v>
      </c>
      <c r="D26" s="6">
        <f t="shared" si="9"/>
        <v>104.6458958</v>
      </c>
      <c r="E26" s="6">
        <f t="shared" si="9"/>
        <v>62.61124592</v>
      </c>
      <c r="F26" s="6">
        <f t="shared" si="9"/>
        <v>28.14</v>
      </c>
      <c r="G26" s="6">
        <f t="shared" si="9"/>
        <v>116.7405483</v>
      </c>
      <c r="H26" s="6">
        <f t="shared" si="9"/>
        <v>81.39246904</v>
      </c>
      <c r="I26" s="6">
        <f t="shared" si="9"/>
        <v>44.37470116</v>
      </c>
      <c r="J26" s="6">
        <f t="shared" si="9"/>
        <v>21.11</v>
      </c>
      <c r="K26" s="6">
        <f t="shared" si="9"/>
        <v>104.96426</v>
      </c>
      <c r="L26" s="6">
        <f t="shared" si="9"/>
        <v>78.05938488</v>
      </c>
      <c r="M26" s="6">
        <f t="shared" si="9"/>
        <v>43.40227461</v>
      </c>
      <c r="N26" s="6">
        <f t="shared" si="9"/>
        <v>23.28000001</v>
      </c>
      <c r="O26" s="6">
        <f t="shared" si="9"/>
        <v>88.94392704</v>
      </c>
      <c r="P26" s="6">
        <f t="shared" si="9"/>
        <v>59.88585286</v>
      </c>
      <c r="Q26" s="6">
        <f t="shared" si="9"/>
        <v>24.97997398</v>
      </c>
      <c r="R26" s="6">
        <f t="shared" si="9"/>
        <v>19.39000001</v>
      </c>
      <c r="S26" s="6">
        <f t="shared" si="9"/>
        <v>33.00556991</v>
      </c>
      <c r="T26" s="6">
        <f t="shared" si="9"/>
        <v>9.136054953</v>
      </c>
      <c r="U26" s="6">
        <f t="shared" si="9"/>
        <v>8.15618894</v>
      </c>
      <c r="V26" s="6">
        <f t="shared" si="9"/>
        <v>9.838218527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>
      <c r="A27" s="23" t="s">
        <v>61</v>
      </c>
      <c r="B27" s="14"/>
      <c r="C27" s="37">
        <f t="shared" ref="C27:V27" si="10">IF(LEFT(C$2,2)="1Q",C$26,C$26-D$26)</f>
        <v>36.44154907</v>
      </c>
      <c r="D27" s="37">
        <f t="shared" si="10"/>
        <v>42.03464989</v>
      </c>
      <c r="E27" s="37">
        <f t="shared" si="10"/>
        <v>34.47124592</v>
      </c>
      <c r="F27" s="37">
        <f t="shared" si="10"/>
        <v>28.14</v>
      </c>
      <c r="G27" s="37">
        <f t="shared" si="10"/>
        <v>35.34807924</v>
      </c>
      <c r="H27" s="37">
        <f t="shared" si="10"/>
        <v>37.01776788</v>
      </c>
      <c r="I27" s="37">
        <f t="shared" si="10"/>
        <v>23.26470116</v>
      </c>
      <c r="J27" s="37">
        <f t="shared" si="10"/>
        <v>21.11</v>
      </c>
      <c r="K27" s="37">
        <f t="shared" si="10"/>
        <v>26.90487508</v>
      </c>
      <c r="L27" s="37">
        <f t="shared" si="10"/>
        <v>34.65711027</v>
      </c>
      <c r="M27" s="37">
        <f t="shared" si="10"/>
        <v>20.1222746</v>
      </c>
      <c r="N27" s="37">
        <f t="shared" si="10"/>
        <v>23.28000001</v>
      </c>
      <c r="O27" s="37">
        <f t="shared" si="10"/>
        <v>29.05807418</v>
      </c>
      <c r="P27" s="37">
        <f t="shared" si="10"/>
        <v>34.90587888</v>
      </c>
      <c r="Q27" s="37">
        <f t="shared" si="10"/>
        <v>5.589973977</v>
      </c>
      <c r="R27" s="37">
        <f t="shared" si="10"/>
        <v>19.39000001</v>
      </c>
      <c r="S27" s="37">
        <f t="shared" si="10"/>
        <v>23.86951496</v>
      </c>
      <c r="T27" s="37">
        <f t="shared" si="10"/>
        <v>0.9798660133</v>
      </c>
      <c r="U27" s="37">
        <f t="shared" si="10"/>
        <v>-1.682029588</v>
      </c>
      <c r="V27" s="37">
        <f t="shared" si="10"/>
        <v>9.838218527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>
      <c r="A28" s="14" t="s">
        <v>63</v>
      </c>
      <c r="B28" s="14"/>
      <c r="C28" s="6">
        <f t="shared" ref="C28:V28" si="11">C$22*C$1/C$19</f>
        <v>748.4695834</v>
      </c>
      <c r="D28" s="6">
        <f t="shared" si="11"/>
        <v>738.0655797</v>
      </c>
      <c r="E28" s="6">
        <f t="shared" si="11"/>
        <v>696.0909178</v>
      </c>
      <c r="F28" s="6">
        <f t="shared" si="11"/>
        <v>730.5155154</v>
      </c>
      <c r="G28" s="6">
        <f t="shared" si="11"/>
        <v>702.6057561</v>
      </c>
      <c r="H28" s="6">
        <f t="shared" si="11"/>
        <v>691.5391833</v>
      </c>
      <c r="I28" s="6">
        <f t="shared" si="11"/>
        <v>654.5070486</v>
      </c>
      <c r="J28" s="6">
        <f t="shared" si="11"/>
        <v>693.5820174</v>
      </c>
      <c r="K28" s="6">
        <f t="shared" si="11"/>
        <v>672.5389394</v>
      </c>
      <c r="L28" s="6">
        <f t="shared" si="11"/>
        <v>667.2957067</v>
      </c>
      <c r="M28" s="6">
        <f t="shared" si="11"/>
        <v>682.4493127</v>
      </c>
      <c r="N28" s="6">
        <f t="shared" si="11"/>
        <v>662.262107</v>
      </c>
      <c r="O28" s="6">
        <f t="shared" si="11"/>
        <v>639.0498713</v>
      </c>
      <c r="P28" s="6">
        <f t="shared" si="11"/>
        <v>622.4473745</v>
      </c>
      <c r="Q28" s="6">
        <f t="shared" si="11"/>
        <v>610.7559218</v>
      </c>
      <c r="R28" s="6">
        <f t="shared" si="11"/>
        <v>604.9751923</v>
      </c>
      <c r="S28" s="6">
        <f t="shared" si="11"/>
        <v>585.2968456</v>
      </c>
      <c r="T28" s="6">
        <f t="shared" si="11"/>
        <v>562.3391422</v>
      </c>
      <c r="U28" s="6">
        <f t="shared" si="11"/>
        <v>560.7595102</v>
      </c>
      <c r="V28" s="6">
        <f t="shared" si="11"/>
        <v>562.4415398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>
      <c r="A29" s="14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>
      <c r="A30" s="30" t="s">
        <v>64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>
      <c r="A31" s="14" t="s">
        <v>65</v>
      </c>
      <c r="B31" s="6">
        <f>$B$3/SUM(OFFSET($B$27,0,1,1,4))</f>
        <v>9.462216863</v>
      </c>
      <c r="C31" s="6">
        <f t="shared" ref="C31:V31" si="12">C$3/SUM(C$27:F$27)</f>
        <v>9.816607007</v>
      </c>
      <c r="D31" s="6">
        <f t="shared" si="12"/>
        <v>7.607470248</v>
      </c>
      <c r="E31" s="6">
        <f t="shared" si="12"/>
        <v>7.482751164</v>
      </c>
      <c r="F31" s="6">
        <f t="shared" si="12"/>
        <v>6.261586547</v>
      </c>
      <c r="G31" s="6">
        <f t="shared" si="12"/>
        <v>6.039032799</v>
      </c>
      <c r="H31" s="6">
        <f t="shared" si="12"/>
        <v>6.325178199</v>
      </c>
      <c r="I31" s="6">
        <f t="shared" si="12"/>
        <v>6.324532342</v>
      </c>
      <c r="J31" s="6">
        <f t="shared" si="12"/>
        <v>6.71243706</v>
      </c>
      <c r="K31" s="6">
        <f t="shared" si="12"/>
        <v>6.811842434</v>
      </c>
      <c r="L31" s="6">
        <f t="shared" si="12"/>
        <v>6.628237883</v>
      </c>
      <c r="M31" s="6">
        <f t="shared" si="12"/>
        <v>7.125145557</v>
      </c>
      <c r="N31" s="6">
        <f t="shared" si="12"/>
        <v>6.732452455</v>
      </c>
      <c r="O31" s="6">
        <f t="shared" si="12"/>
        <v>6.40853197</v>
      </c>
      <c r="P31" s="6">
        <f t="shared" si="12"/>
        <v>6.029464298</v>
      </c>
      <c r="Q31" s="6">
        <f t="shared" si="12"/>
        <v>12.34212244</v>
      </c>
      <c r="R31" s="6">
        <f t="shared" si="12"/>
        <v>12.92373661</v>
      </c>
      <c r="S31" s="6">
        <f t="shared" si="12"/>
        <v>15.60342698</v>
      </c>
      <c r="T31" s="6">
        <f t="shared" si="12"/>
        <v>65.12657849</v>
      </c>
      <c r="U31" s="6">
        <f t="shared" si="12"/>
        <v>60.07707811</v>
      </c>
      <c r="V31" s="6">
        <f t="shared" si="12"/>
        <v>60.47842893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>
      <c r="A32" s="23" t="s">
        <v>66</v>
      </c>
      <c r="B32" s="6">
        <f>$B$3/OFFSET($B$28,0,1)</f>
        <v>1.783639616</v>
      </c>
      <c r="C32" s="6">
        <f t="shared" ref="C32:V32" si="13">C$3/C$28</f>
        <v>1.850442598</v>
      </c>
      <c r="D32" s="6">
        <f t="shared" si="13"/>
        <v>1.442961207</v>
      </c>
      <c r="E32" s="6">
        <f t="shared" si="13"/>
        <v>1.450959888</v>
      </c>
      <c r="F32" s="6">
        <f t="shared" si="13"/>
        <v>1.060894647</v>
      </c>
      <c r="G32" s="6">
        <f t="shared" si="13"/>
        <v>1.003407663</v>
      </c>
      <c r="H32" s="6">
        <f t="shared" si="13"/>
        <v>0.9905440162</v>
      </c>
      <c r="I32" s="6">
        <f t="shared" si="13"/>
        <v>1.023671176</v>
      </c>
      <c r="J32" s="6">
        <f t="shared" si="13"/>
        <v>0.9948354812</v>
      </c>
      <c r="K32" s="6">
        <f t="shared" si="13"/>
        <v>1.063135468</v>
      </c>
      <c r="L32" s="6">
        <f t="shared" si="13"/>
        <v>1.063996056</v>
      </c>
      <c r="M32" s="6">
        <f t="shared" si="13"/>
        <v>1.120962372</v>
      </c>
      <c r="N32" s="6">
        <f t="shared" si="13"/>
        <v>0.9437351064</v>
      </c>
      <c r="O32" s="6">
        <f t="shared" si="13"/>
        <v>0.8919491664</v>
      </c>
      <c r="P32" s="6">
        <f t="shared" si="13"/>
        <v>0.8113135675</v>
      </c>
      <c r="Q32" s="6">
        <f t="shared" si="13"/>
        <v>1.006948894</v>
      </c>
      <c r="R32" s="6">
        <f t="shared" si="13"/>
        <v>0.9091281874</v>
      </c>
      <c r="S32" s="6">
        <f t="shared" si="13"/>
        <v>0.8798953965</v>
      </c>
      <c r="T32" s="6">
        <f t="shared" si="13"/>
        <v>1.058080356</v>
      </c>
      <c r="U32" s="6">
        <f t="shared" si="13"/>
        <v>0.8738148727</v>
      </c>
      <c r="V32" s="6">
        <f t="shared" si="13"/>
        <v>1.057887723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>
      <c r="A33" s="23" t="s">
        <v>67</v>
      </c>
      <c r="B33" s="6">
        <f>B$31/OFFSET($B39,0,1)/100</f>
        <v>0.2806527781</v>
      </c>
      <c r="C33" s="6">
        <f t="shared" ref="C33:V33" si="14">C$31/C$39/100</f>
        <v>0.2911641181</v>
      </c>
      <c r="D33" s="6">
        <f t="shared" si="14"/>
        <v>0.1047692654</v>
      </c>
      <c r="E33" s="6">
        <f t="shared" si="14"/>
        <v>0.09938709998</v>
      </c>
      <c r="F33" s="6">
        <f t="shared" si="14"/>
        <v>0.09496485629</v>
      </c>
      <c r="G33" s="6" t="str">
        <f t="shared" si="14"/>
        <v>#DIV/0!</v>
      </c>
      <c r="H33" s="6" t="str">
        <f t="shared" si="14"/>
        <v>#DIV/0!</v>
      </c>
      <c r="I33" s="6" t="str">
        <f t="shared" si="14"/>
        <v>#DIV/0!</v>
      </c>
      <c r="J33" s="6" t="str">
        <f t="shared" si="14"/>
        <v>#DIV/0!</v>
      </c>
      <c r="K33" s="6" t="str">
        <f t="shared" si="14"/>
        <v>#DIV/0!</v>
      </c>
      <c r="L33" s="6" t="str">
        <f t="shared" si="14"/>
        <v>#DIV/0!</v>
      </c>
      <c r="M33" s="6" t="str">
        <f t="shared" si="14"/>
        <v>#DIV/0!</v>
      </c>
      <c r="N33" s="6" t="str">
        <f t="shared" si="14"/>
        <v>#DIV/0!</v>
      </c>
      <c r="O33" s="6" t="str">
        <f t="shared" si="14"/>
        <v>#DIV/0!</v>
      </c>
      <c r="P33" s="6" t="str">
        <f t="shared" si="14"/>
        <v>#DIV/0!</v>
      </c>
      <c r="Q33" s="6" t="str">
        <f t="shared" si="14"/>
        <v>#DIV/0!</v>
      </c>
      <c r="R33" s="6" t="str">
        <f t="shared" si="14"/>
        <v>#DIV/0!</v>
      </c>
      <c r="S33" s="6" t="str">
        <f t="shared" si="14"/>
        <v>#DIV/0!</v>
      </c>
      <c r="T33" s="6" t="str">
        <f t="shared" si="14"/>
        <v>#DIV/0!</v>
      </c>
      <c r="U33" s="6" t="str">
        <f t="shared" si="14"/>
        <v>#DIV/0!</v>
      </c>
      <c r="V33" s="6" t="str">
        <f t="shared" si="14"/>
        <v>#DIV/0!</v>
      </c>
      <c r="W33" s="2"/>
      <c r="X33" s="2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>
      <c r="A35" s="30" t="s">
        <v>68</v>
      </c>
      <c r="B35" s="31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>
      <c r="A36" s="14" t="s">
        <v>69</v>
      </c>
      <c r="B36" s="31"/>
      <c r="C36" s="32">
        <f t="shared" ref="C36:V36" si="15">C$16/ABS(C$13)</f>
        <v>0.2454987209</v>
      </c>
      <c r="D36" s="32">
        <f t="shared" si="15"/>
        <v>0.3124362587</v>
      </c>
      <c r="E36" s="32">
        <f t="shared" si="15"/>
        <v>0.295252912</v>
      </c>
      <c r="F36" s="32">
        <f t="shared" si="15"/>
        <v>0.2517363925</v>
      </c>
      <c r="G36" s="32">
        <f t="shared" si="15"/>
        <v>0.2688422274</v>
      </c>
      <c r="H36" s="32">
        <f t="shared" si="15"/>
        <v>0.2985278062</v>
      </c>
      <c r="I36" s="32">
        <f t="shared" si="15"/>
        <v>0.2291137143</v>
      </c>
      <c r="J36" s="32">
        <f t="shared" si="15"/>
        <v>0.2185622505</v>
      </c>
      <c r="K36" s="32">
        <f t="shared" si="15"/>
        <v>0.261501126</v>
      </c>
      <c r="L36" s="32">
        <f t="shared" si="15"/>
        <v>0.3478189136</v>
      </c>
      <c r="M36" s="32">
        <f t="shared" si="15"/>
        <v>0.2080871959</v>
      </c>
      <c r="N36" s="32">
        <f t="shared" si="15"/>
        <v>0.2214680047</v>
      </c>
      <c r="O36" s="32">
        <f t="shared" si="15"/>
        <v>0.2420769402</v>
      </c>
      <c r="P36" s="32">
        <f t="shared" si="15"/>
        <v>0.3081488632</v>
      </c>
      <c r="Q36" s="32">
        <f t="shared" si="15"/>
        <v>0.06665936439</v>
      </c>
      <c r="R36" s="32">
        <f t="shared" si="15"/>
        <v>0.2350225557</v>
      </c>
      <c r="S36" s="32">
        <f t="shared" si="15"/>
        <v>0.2570602656</v>
      </c>
      <c r="T36" s="32">
        <f t="shared" si="15"/>
        <v>0.01540711795</v>
      </c>
      <c r="U36" s="32">
        <f t="shared" si="15"/>
        <v>-0.02698332946</v>
      </c>
      <c r="V36" s="32">
        <f t="shared" si="15"/>
        <v>0.149188685</v>
      </c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</row>
    <row r="37">
      <c r="A37" s="14"/>
      <c r="B37" s="31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</row>
    <row r="38">
      <c r="A38" s="21" t="s">
        <v>70</v>
      </c>
      <c r="B38" s="29" t="str">
        <f t="shared" ref="B38:V38" si="16">B$2</f>
        <v>Current</v>
      </c>
      <c r="C38" s="11" t="str">
        <f t="shared" si="16"/>
        <v>FY2025</v>
      </c>
      <c r="D38" s="11" t="str">
        <f t="shared" si="16"/>
        <v>9M2025</v>
      </c>
      <c r="E38" s="11" t="str">
        <f t="shared" si="16"/>
        <v>1H2025</v>
      </c>
      <c r="F38" s="11" t="str">
        <f t="shared" si="16"/>
        <v>1Q2025</v>
      </c>
      <c r="G38" s="11" t="str">
        <f t="shared" si="16"/>
        <v>FY2024</v>
      </c>
      <c r="H38" s="11" t="str">
        <f t="shared" si="16"/>
        <v>9M2024</v>
      </c>
      <c r="I38" s="11" t="str">
        <f t="shared" si="16"/>
        <v>1H2024</v>
      </c>
      <c r="J38" s="11" t="str">
        <f t="shared" si="16"/>
        <v>1Q2024</v>
      </c>
      <c r="K38" s="11" t="str">
        <f t="shared" si="16"/>
        <v>FY2023</v>
      </c>
      <c r="L38" s="11" t="str">
        <f t="shared" si="16"/>
        <v>9M2023</v>
      </c>
      <c r="M38" s="11" t="str">
        <f t="shared" si="16"/>
        <v>1H2023</v>
      </c>
      <c r="N38" s="11" t="str">
        <f t="shared" si="16"/>
        <v>1Q2023</v>
      </c>
      <c r="O38" s="11" t="str">
        <f t="shared" si="16"/>
        <v>FY2022</v>
      </c>
      <c r="P38" s="11" t="str">
        <f t="shared" si="16"/>
        <v>9M2022</v>
      </c>
      <c r="Q38" s="11" t="str">
        <f t="shared" si="16"/>
        <v>1H2022</v>
      </c>
      <c r="R38" s="11" t="str">
        <f t="shared" si="16"/>
        <v>1Q2022</v>
      </c>
      <c r="S38" s="11" t="str">
        <f t="shared" si="16"/>
        <v>FY2021</v>
      </c>
      <c r="T38" s="11" t="str">
        <f t="shared" si="16"/>
        <v>9M2021</v>
      </c>
      <c r="U38" s="11" t="str">
        <f t="shared" si="16"/>
        <v>1H2021</v>
      </c>
      <c r="V38" s="11" t="str">
        <f t="shared" si="16"/>
        <v>1Q2021</v>
      </c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>
      <c r="A39" s="23" t="s">
        <v>71</v>
      </c>
      <c r="B39" s="17"/>
      <c r="C39" s="8">
        <f t="shared" ref="C39:V39" si="17">(SUM(C$27:F$27)/SUM(S$27:V$27))^(1/5)-1</f>
        <v>0.337150301</v>
      </c>
      <c r="D39" s="8">
        <f t="shared" si="17"/>
        <v>0.726116597</v>
      </c>
      <c r="E39" s="8">
        <f t="shared" si="17"/>
        <v>0.7528895767</v>
      </c>
      <c r="F39" s="8">
        <f t="shared" si="17"/>
        <v>0.6593582923</v>
      </c>
      <c r="G39" s="8" t="str">
        <f t="shared" si="17"/>
        <v>#DIV/0!</v>
      </c>
      <c r="H39" s="8" t="str">
        <f t="shared" si="17"/>
        <v>#DIV/0!</v>
      </c>
      <c r="I39" s="8" t="str">
        <f t="shared" si="17"/>
        <v>#DIV/0!</v>
      </c>
      <c r="J39" s="8" t="str">
        <f t="shared" si="17"/>
        <v>#DIV/0!</v>
      </c>
      <c r="K39" s="8" t="str">
        <f t="shared" si="17"/>
        <v>#DIV/0!</v>
      </c>
      <c r="L39" s="8" t="str">
        <f t="shared" si="17"/>
        <v>#DIV/0!</v>
      </c>
      <c r="M39" s="8" t="str">
        <f t="shared" si="17"/>
        <v>#DIV/0!</v>
      </c>
      <c r="N39" s="8" t="str">
        <f t="shared" si="17"/>
        <v>#DIV/0!</v>
      </c>
      <c r="O39" s="8" t="str">
        <f t="shared" si="17"/>
        <v>#DIV/0!</v>
      </c>
      <c r="P39" s="8" t="str">
        <f t="shared" si="17"/>
        <v>#DIV/0!</v>
      </c>
      <c r="Q39" s="8" t="str">
        <f t="shared" si="17"/>
        <v>#DIV/0!</v>
      </c>
      <c r="R39" s="8" t="str">
        <f t="shared" si="17"/>
        <v>#DIV/0!</v>
      </c>
      <c r="S39" s="8" t="str">
        <f t="shared" si="17"/>
        <v>#DIV/0!</v>
      </c>
      <c r="T39" s="8" t="str">
        <f t="shared" si="17"/>
        <v>#DIV/0!</v>
      </c>
      <c r="U39" s="8" t="str">
        <f t="shared" si="17"/>
        <v>#DIV/0!</v>
      </c>
      <c r="V39" s="8" t="str">
        <f t="shared" si="17"/>
        <v>#DIV/0!</v>
      </c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</row>
    <row r="40">
      <c r="A40" s="23"/>
      <c r="B40" s="17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</row>
    <row r="41">
      <c r="A41" s="23" t="s">
        <v>72</v>
      </c>
      <c r="B41" s="37">
        <f t="shared" ref="B41:B42" si="19">OFFSET($B41,0,1)</f>
        <v>33.7150301</v>
      </c>
      <c r="C41" s="6">
        <f t="shared" ref="C41:V41" si="18">C$39*100</f>
        <v>33.7150301</v>
      </c>
      <c r="D41" s="6">
        <f t="shared" si="18"/>
        <v>72.6116597</v>
      </c>
      <c r="E41" s="6">
        <f t="shared" si="18"/>
        <v>75.28895767</v>
      </c>
      <c r="F41" s="6">
        <f t="shared" si="18"/>
        <v>65.93582923</v>
      </c>
      <c r="G41" s="6" t="str">
        <f t="shared" si="18"/>
        <v>#DIV/0!</v>
      </c>
      <c r="H41" s="6" t="str">
        <f t="shared" si="18"/>
        <v>#DIV/0!</v>
      </c>
      <c r="I41" s="6" t="str">
        <f t="shared" si="18"/>
        <v>#DIV/0!</v>
      </c>
      <c r="J41" s="6" t="str">
        <f t="shared" si="18"/>
        <v>#DIV/0!</v>
      </c>
      <c r="K41" s="6" t="str">
        <f t="shared" si="18"/>
        <v>#DIV/0!</v>
      </c>
      <c r="L41" s="6" t="str">
        <f t="shared" si="18"/>
        <v>#DIV/0!</v>
      </c>
      <c r="M41" s="6" t="str">
        <f t="shared" si="18"/>
        <v>#DIV/0!</v>
      </c>
      <c r="N41" s="6" t="str">
        <f t="shared" si="18"/>
        <v>#DIV/0!</v>
      </c>
      <c r="O41" s="6" t="str">
        <f t="shared" si="18"/>
        <v>#DIV/0!</v>
      </c>
      <c r="P41" s="6" t="str">
        <f t="shared" si="18"/>
        <v>#DIV/0!</v>
      </c>
      <c r="Q41" s="6" t="str">
        <f t="shared" si="18"/>
        <v>#DIV/0!</v>
      </c>
      <c r="R41" s="6" t="str">
        <f t="shared" si="18"/>
        <v>#DIV/0!</v>
      </c>
      <c r="S41" s="6" t="str">
        <f t="shared" si="18"/>
        <v>#DIV/0!</v>
      </c>
      <c r="T41" s="6" t="str">
        <f t="shared" si="18"/>
        <v>#DIV/0!</v>
      </c>
      <c r="U41" s="6" t="str">
        <f t="shared" si="18"/>
        <v>#DIV/0!</v>
      </c>
      <c r="V41" s="6" t="str">
        <f t="shared" si="18"/>
        <v>#DIV/0!</v>
      </c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</row>
    <row r="42">
      <c r="A42" s="23" t="s">
        <v>73</v>
      </c>
      <c r="B42" s="38">
        <f t="shared" si="19"/>
        <v>4756.767451</v>
      </c>
      <c r="C42" s="34">
        <f t="shared" ref="C42:V42" si="20">C$41*SUM(C$27:F$27)</f>
        <v>4756.767451</v>
      </c>
      <c r="D42" s="34">
        <f t="shared" si="20"/>
        <v>10165.19488</v>
      </c>
      <c r="E42" s="34">
        <f t="shared" si="20"/>
        <v>10162.28464</v>
      </c>
      <c r="F42" s="34">
        <f t="shared" si="20"/>
        <v>8160.913735</v>
      </c>
      <c r="G42" s="34" t="str">
        <f t="shared" si="20"/>
        <v>#DIV/0!</v>
      </c>
      <c r="H42" s="34" t="str">
        <f t="shared" si="20"/>
        <v>#DIV/0!</v>
      </c>
      <c r="I42" s="34" t="str">
        <f t="shared" si="20"/>
        <v>#DIV/0!</v>
      </c>
      <c r="J42" s="34" t="str">
        <f t="shared" si="20"/>
        <v>#DIV/0!</v>
      </c>
      <c r="K42" s="34" t="str">
        <f t="shared" si="20"/>
        <v>#DIV/0!</v>
      </c>
      <c r="L42" s="34" t="str">
        <f t="shared" si="20"/>
        <v>#DIV/0!</v>
      </c>
      <c r="M42" s="34" t="str">
        <f t="shared" si="20"/>
        <v>#DIV/0!</v>
      </c>
      <c r="N42" s="34" t="str">
        <f t="shared" si="20"/>
        <v>#DIV/0!</v>
      </c>
      <c r="O42" s="34" t="str">
        <f t="shared" si="20"/>
        <v>#DIV/0!</v>
      </c>
      <c r="P42" s="34" t="str">
        <f t="shared" si="20"/>
        <v>#DIV/0!</v>
      </c>
      <c r="Q42" s="34" t="str">
        <f t="shared" si="20"/>
        <v>#DIV/0!</v>
      </c>
      <c r="R42" s="34" t="str">
        <f t="shared" si="20"/>
        <v>#DIV/0!</v>
      </c>
      <c r="S42" s="34" t="str">
        <f t="shared" si="20"/>
        <v>#DIV/0!</v>
      </c>
      <c r="T42" s="34" t="str">
        <f t="shared" si="20"/>
        <v>#DIV/0!</v>
      </c>
      <c r="U42" s="34" t="str">
        <f t="shared" si="20"/>
        <v>#DIV/0!</v>
      </c>
      <c r="V42" s="34" t="str">
        <f t="shared" si="20"/>
        <v>#DIV/0!</v>
      </c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</row>
    <row r="43">
      <c r="A43" s="23" t="s">
        <v>74</v>
      </c>
      <c r="B43" s="8">
        <f t="shared" ref="B43:V43" si="21">(B$42-B$3)/ABS(B$3)</f>
        <v>2.563121686</v>
      </c>
      <c r="C43" s="8">
        <f t="shared" si="21"/>
        <v>2.434489134</v>
      </c>
      <c r="D43" s="8">
        <f t="shared" si="21"/>
        <v>8.544783921</v>
      </c>
      <c r="E43" s="8">
        <f t="shared" si="21"/>
        <v>9.061667965</v>
      </c>
      <c r="F43" s="8">
        <f t="shared" si="21"/>
        <v>9.530211271</v>
      </c>
      <c r="G43" s="8" t="str">
        <f t="shared" si="21"/>
        <v>#DIV/0!</v>
      </c>
      <c r="H43" s="8" t="str">
        <f t="shared" si="21"/>
        <v>#DIV/0!</v>
      </c>
      <c r="I43" s="8" t="str">
        <f t="shared" si="21"/>
        <v>#DIV/0!</v>
      </c>
      <c r="J43" s="8" t="str">
        <f t="shared" si="21"/>
        <v>#DIV/0!</v>
      </c>
      <c r="K43" s="8" t="str">
        <f t="shared" si="21"/>
        <v>#DIV/0!</v>
      </c>
      <c r="L43" s="8" t="str">
        <f t="shared" si="21"/>
        <v>#DIV/0!</v>
      </c>
      <c r="M43" s="8" t="str">
        <f t="shared" si="21"/>
        <v>#DIV/0!</v>
      </c>
      <c r="N43" s="8" t="str">
        <f t="shared" si="21"/>
        <v>#DIV/0!</v>
      </c>
      <c r="O43" s="8" t="str">
        <f t="shared" si="21"/>
        <v>#DIV/0!</v>
      </c>
      <c r="P43" s="8" t="str">
        <f t="shared" si="21"/>
        <v>#DIV/0!</v>
      </c>
      <c r="Q43" s="8" t="str">
        <f t="shared" si="21"/>
        <v>#DIV/0!</v>
      </c>
      <c r="R43" s="8" t="str">
        <f t="shared" si="21"/>
        <v>#DIV/0!</v>
      </c>
      <c r="S43" s="8" t="str">
        <f t="shared" si="21"/>
        <v>#DIV/0!</v>
      </c>
      <c r="T43" s="8" t="str">
        <f t="shared" si="21"/>
        <v>#DIV/0!</v>
      </c>
      <c r="U43" s="8" t="str">
        <f t="shared" si="21"/>
        <v>#DIV/0!</v>
      </c>
      <c r="V43" s="8" t="str">
        <f t="shared" si="21"/>
        <v>#DIV/0!</v>
      </c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0.13"/>
    <col customWidth="1" min="2" max="12" width="19.5"/>
    <col customWidth="1" min="13" max="21" width="2.0"/>
  </cols>
  <sheetData>
    <row r="1">
      <c r="A1" s="3" t="s">
        <v>15</v>
      </c>
      <c r="B1" s="4" t="s">
        <v>75</v>
      </c>
      <c r="C1" s="7">
        <f t="array" ref="C1">IF(C$7="Local Currency",1,_xlfn.XLOOKUP(C$2,OFFSET(Dashboard!$A:$A,0,MATCH(C$7,Dashboard!$1:$1,0)-1),OFFSET(Dashboard!$A:$A,0,MATCH(C$7,Dashboard!$1:$1,0))))</f>
        <v>1</v>
      </c>
      <c r="D1" s="7">
        <f t="array" ref="D1">IF(D$7="Local Currency",1,_xlfn.XLOOKUP(D$2,OFFSET(Dashboard!$A:$A,0,MATCH(D$7,Dashboard!$1:$1,0)-1),OFFSET(Dashboard!$A:$A,0,MATCH(D$7,Dashboard!$1:$1,0))))</f>
        <v>1</v>
      </c>
      <c r="E1" s="7">
        <f t="array" ref="E1">IF(E$7="Local Currency",1,_xlfn.XLOOKUP(E$2,OFFSET(Dashboard!$A:$A,0,MATCH(E$7,Dashboard!$1:$1,0)-1),OFFSET(Dashboard!$A:$A,0,MATCH(E$7,Dashboard!$1:$1,0))))</f>
        <v>1</v>
      </c>
      <c r="F1" s="7">
        <f t="array" ref="F1">IF(F$7="Local Currency",1,_xlfn.XLOOKUP(F$2,OFFSET(Dashboard!$A:$A,0,MATCH(F$7,Dashboard!$1:$1,0)-1),OFFSET(Dashboard!$A:$A,0,MATCH(F$7,Dashboard!$1:$1,0))))</f>
        <v>1</v>
      </c>
      <c r="G1" s="7">
        <f t="array" ref="G1">IF(G$7="Local Currency",1,_xlfn.XLOOKUP(G$2,OFFSET(Dashboard!$A:$A,0,MATCH(G$7,Dashboard!$1:$1,0)-1),OFFSET(Dashboard!$A:$A,0,MATCH(G$7,Dashboard!$1:$1,0))))</f>
        <v>1</v>
      </c>
      <c r="H1" s="7">
        <f t="array" ref="H1">IF(H$7="Local Currency",1,_xlfn.XLOOKUP(H$2,OFFSET(Dashboard!$A:$A,0,MATCH(H$7,Dashboard!$1:$1,0)-1),OFFSET(Dashboard!$A:$A,0,MATCH(H$7,Dashboard!$1:$1,0))))</f>
        <v>1</v>
      </c>
      <c r="I1" s="7">
        <f t="array" ref="I1">IF(I$7="Local Currency",1,_xlfn.XLOOKUP(I$2,OFFSET(Dashboard!$A:$A,0,MATCH(I$7,Dashboard!$1:$1,0)-1),OFFSET(Dashboard!$A:$A,0,MATCH(I$7,Dashboard!$1:$1,0))))</f>
        <v>1</v>
      </c>
      <c r="J1" s="7">
        <f t="array" ref="J1">IF(J$7="Local Currency",1,_xlfn.XLOOKUP(J$2,OFFSET(Dashboard!$A:$A,0,MATCH(J$7,Dashboard!$1:$1,0)-1),OFFSET(Dashboard!$A:$A,0,MATCH(J$7,Dashboard!$1:$1,0))))</f>
        <v>1</v>
      </c>
      <c r="K1" s="7">
        <f t="array" ref="K1">IF(K$7="Local Currency",1,_xlfn.XLOOKUP(K$2,OFFSET(Dashboard!$A:$A,0,MATCH(K$7,Dashboard!$1:$1,0)-1),OFFSET(Dashboard!$A:$A,0,MATCH(K$7,Dashboard!$1:$1,0))))</f>
        <v>1</v>
      </c>
      <c r="L1" s="7">
        <f t="array" ref="L1">IF(L$7="Local Currency",1,_xlfn.XLOOKUP(L$2,OFFSET(Dashboard!$A:$A,0,MATCH(L$7,Dashboard!$1:$1,0)-1),OFFSET(Dashboard!$A:$A,0,MATCH(L$7,Dashboard!$1:$1,0))))</f>
        <v>1</v>
      </c>
      <c r="M1" s="24"/>
      <c r="N1" s="24"/>
      <c r="O1" s="24"/>
      <c r="P1" s="24"/>
      <c r="Q1" s="24"/>
      <c r="R1" s="24"/>
      <c r="S1" s="24"/>
      <c r="T1" s="24"/>
      <c r="U1" s="24"/>
    </row>
    <row r="2">
      <c r="A2" s="10" t="s">
        <v>18</v>
      </c>
      <c r="B2" s="11" t="s">
        <v>19</v>
      </c>
      <c r="C2" s="12" t="s">
        <v>20</v>
      </c>
      <c r="D2" s="11" t="s">
        <v>22</v>
      </c>
      <c r="E2" s="12" t="s">
        <v>24</v>
      </c>
      <c r="F2" s="11" t="s">
        <v>26</v>
      </c>
      <c r="G2" s="12" t="s">
        <v>28</v>
      </c>
      <c r="H2" s="12" t="s">
        <v>30</v>
      </c>
      <c r="I2" s="12" t="s">
        <v>32</v>
      </c>
      <c r="J2" s="12" t="s">
        <v>34</v>
      </c>
      <c r="K2" s="12" t="s">
        <v>36</v>
      </c>
      <c r="L2" s="12" t="s">
        <v>38</v>
      </c>
      <c r="M2" s="35"/>
      <c r="N2" s="35"/>
      <c r="O2" s="35"/>
      <c r="P2" s="35"/>
      <c r="Q2" s="35"/>
      <c r="R2" s="35"/>
      <c r="S2" s="35"/>
      <c r="T2" s="35"/>
      <c r="U2" s="35"/>
    </row>
    <row r="3">
      <c r="A3" s="4" t="s">
        <v>40</v>
      </c>
      <c r="B3" s="13">
        <v>32600.0</v>
      </c>
      <c r="C3" s="13">
        <v>15425.0</v>
      </c>
      <c r="D3" s="13">
        <v>10825.0</v>
      </c>
      <c r="E3" s="13">
        <v>9100.0</v>
      </c>
      <c r="F3" s="13">
        <v>10575.0</v>
      </c>
      <c r="G3" s="13">
        <v>9675.0</v>
      </c>
      <c r="H3" s="13">
        <v>8475.0</v>
      </c>
      <c r="I3" s="13">
        <v>7175.0</v>
      </c>
      <c r="J3" s="13">
        <v>6675.0</v>
      </c>
      <c r="K3" s="13">
        <v>3290.0</v>
      </c>
      <c r="L3" s="13">
        <v>1950.0</v>
      </c>
      <c r="M3" s="13"/>
      <c r="N3" s="13"/>
      <c r="O3" s="13"/>
      <c r="P3" s="13"/>
      <c r="Q3" s="13"/>
      <c r="R3" s="13"/>
      <c r="S3" s="13"/>
      <c r="T3" s="13"/>
      <c r="U3" s="13"/>
    </row>
    <row r="4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>
      <c r="A5" s="14" t="s">
        <v>41</v>
      </c>
      <c r="B5" s="16">
        <f>B$3*OFFSET(B$5,0,1)/OFFSET(B$3,0,1)</f>
        <v>19230635680000</v>
      </c>
      <c r="C5" s="16">
        <f t="shared" ref="C5:L5" si="1">C$23*C$3</f>
        <v>9099158140000</v>
      </c>
      <c r="D5" s="16">
        <f t="shared" si="1"/>
        <v>6385632860000</v>
      </c>
      <c r="E5" s="16">
        <f t="shared" si="1"/>
        <v>5368060880000</v>
      </c>
      <c r="F5" s="16">
        <f t="shared" si="1"/>
        <v>6238158660000</v>
      </c>
      <c r="G5" s="16">
        <f t="shared" si="1"/>
        <v>5707251540000</v>
      </c>
      <c r="H5" s="16">
        <f t="shared" si="1"/>
        <v>4999375380000</v>
      </c>
      <c r="I5" s="16">
        <f t="shared" si="1"/>
        <v>4232509540000</v>
      </c>
      <c r="J5" s="16">
        <f t="shared" si="1"/>
        <v>3937561140000</v>
      </c>
      <c r="K5" s="16">
        <f t="shared" si="1"/>
        <v>1940760472000</v>
      </c>
      <c r="L5" s="16">
        <f t="shared" si="1"/>
        <v>1150298760000</v>
      </c>
      <c r="M5" s="16"/>
      <c r="N5" s="16"/>
      <c r="O5" s="16"/>
      <c r="P5" s="16"/>
      <c r="Q5" s="16"/>
      <c r="R5" s="16"/>
      <c r="S5" s="16"/>
      <c r="T5" s="16"/>
      <c r="U5" s="16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>
      <c r="A7" s="4" t="s">
        <v>42</v>
      </c>
      <c r="B7" s="19" t="str">
        <f t="array" ref="B7">IF(COUNTIF($C7:$ZZG7,INDEX($C7:$ZZG7,MATCH(TRUE,$C7:$ZZG7&lt;&gt;"",0)))=COUNTIF($C7:$ZZG7,"&lt;&gt;"),"All "&amp;INDEX($C7:$ZZG7,MATCH(TRUE,$C7:$ZZG7&lt;&gt;"",0)),INDEX($C7:$ZZG7,MATCH(MAX(INDEX(COUNTIF($C7:$ZZG7,$C7:$ZZG7),0)),INDEX(COUNTIF($C7:$ZZG7,$C7:$ZZG7),0),0))&amp;" Dominant")</f>
        <v>All Local Currency</v>
      </c>
      <c r="C7" s="19" t="s">
        <v>43</v>
      </c>
      <c r="D7" s="19" t="s">
        <v>43</v>
      </c>
      <c r="E7" s="19" t="s">
        <v>43</v>
      </c>
      <c r="F7" s="19" t="s">
        <v>43</v>
      </c>
      <c r="G7" s="19" t="s">
        <v>43</v>
      </c>
      <c r="H7" s="19" t="s">
        <v>43</v>
      </c>
      <c r="I7" s="19" t="s">
        <v>43</v>
      </c>
      <c r="J7" s="19" t="s">
        <v>43</v>
      </c>
      <c r="K7" s="19" t="s">
        <v>43</v>
      </c>
      <c r="L7" s="19" t="s">
        <v>43</v>
      </c>
      <c r="M7" s="19"/>
      <c r="N7" s="19"/>
      <c r="O7" s="19"/>
      <c r="P7" s="19"/>
      <c r="Q7" s="19"/>
      <c r="R7" s="19"/>
      <c r="S7" s="19"/>
      <c r="T7" s="19"/>
      <c r="U7" s="19"/>
    </row>
    <row r="8">
      <c r="A8" s="17"/>
      <c r="B8" s="20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>
      <c r="A9" s="21" t="s">
        <v>44</v>
      </c>
      <c r="B9" s="11" t="str">
        <f t="shared" ref="B9:L9" si="2">B$2</f>
        <v>Current</v>
      </c>
      <c r="C9" s="11" t="str">
        <f t="shared" si="2"/>
        <v>FY2025</v>
      </c>
      <c r="D9" s="11" t="str">
        <f t="shared" si="2"/>
        <v>1H2025</v>
      </c>
      <c r="E9" s="11" t="str">
        <f t="shared" si="2"/>
        <v>FY2024</v>
      </c>
      <c r="F9" s="11" t="str">
        <f t="shared" si="2"/>
        <v>1H2024</v>
      </c>
      <c r="G9" s="11" t="str">
        <f t="shared" si="2"/>
        <v>FY2023</v>
      </c>
      <c r="H9" s="11" t="str">
        <f t="shared" si="2"/>
        <v>1H2023</v>
      </c>
      <c r="I9" s="11" t="str">
        <f t="shared" si="2"/>
        <v>FY2022</v>
      </c>
      <c r="J9" s="11" t="str">
        <f t="shared" si="2"/>
        <v>1H2022</v>
      </c>
      <c r="K9" s="11" t="str">
        <f t="shared" si="2"/>
        <v>FY2021</v>
      </c>
      <c r="L9" s="11" t="str">
        <f t="shared" si="2"/>
        <v>1H2021</v>
      </c>
      <c r="M9" s="36"/>
      <c r="N9" s="36"/>
      <c r="O9" s="36"/>
      <c r="P9" s="36"/>
      <c r="Q9" s="36"/>
      <c r="R9" s="36"/>
      <c r="S9" s="36"/>
      <c r="T9" s="36"/>
      <c r="U9" s="36"/>
    </row>
    <row r="10">
      <c r="A10" s="4" t="s">
        <v>45</v>
      </c>
      <c r="B10" s="19" t="str">
        <f t="array" ref="B10">IF(COUNTIF($C10:$ZZG10,INDEX($C10:$ZZG10,MATCH(TRUE,$C10:$ZZG10&lt;&gt;"",0)))=COUNTIF($C10:$ZZG10,"&lt;&gt;"),"All "&amp;INDEX($C10:$ZZG10,MATCH(TRUE,$C10:$ZZG10&lt;&gt;"",0)),INDEX($C10:$ZZG10,MATCH(MAX(INDEX(COUNTIF($C10:$ZZG10,$C10:$ZZG10),0)),INDEX(COUNTIF($C10:$ZZG10,$C10:$ZZG10),0),0))&amp;" Dominant")</f>
        <v>All Semester</v>
      </c>
      <c r="C10" s="22" t="s">
        <v>76</v>
      </c>
      <c r="D10" s="22" t="s">
        <v>76</v>
      </c>
      <c r="E10" s="22" t="s">
        <v>76</v>
      </c>
      <c r="F10" s="22" t="s">
        <v>76</v>
      </c>
      <c r="G10" s="22" t="s">
        <v>76</v>
      </c>
      <c r="H10" s="22" t="s">
        <v>76</v>
      </c>
      <c r="I10" s="22" t="s">
        <v>76</v>
      </c>
      <c r="J10" s="22" t="s">
        <v>76</v>
      </c>
      <c r="K10" s="22" t="s">
        <v>76</v>
      </c>
      <c r="L10" s="22" t="s">
        <v>76</v>
      </c>
      <c r="M10" s="22"/>
      <c r="N10" s="22"/>
      <c r="O10" s="22"/>
      <c r="P10" s="22"/>
      <c r="Q10" s="22"/>
      <c r="R10" s="22"/>
      <c r="S10" s="22"/>
      <c r="T10" s="22"/>
      <c r="U10" s="22"/>
    </row>
    <row r="11">
      <c r="A11" s="23"/>
      <c r="B11" s="17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>
      <c r="A12" s="4" t="s">
        <v>48</v>
      </c>
      <c r="B12" s="17"/>
      <c r="C12" s="16">
        <v>1.540643E12</v>
      </c>
      <c r="D12" s="16">
        <v>1.186331E12</v>
      </c>
      <c r="E12" s="16">
        <v>1.089035E12</v>
      </c>
      <c r="F12" s="16">
        <v>8.67396E11</v>
      </c>
      <c r="G12" s="16">
        <v>7.94021E11</v>
      </c>
      <c r="H12" s="16">
        <v>7.31424E11</v>
      </c>
      <c r="I12" s="16">
        <v>6.87714E11</v>
      </c>
      <c r="J12" s="16">
        <v>6.03278E11</v>
      </c>
      <c r="K12" s="16">
        <v>5.60041E11</v>
      </c>
      <c r="L12" s="16">
        <v>3.75034E11</v>
      </c>
      <c r="M12" s="16"/>
      <c r="N12" s="16"/>
      <c r="O12" s="16"/>
      <c r="P12" s="16"/>
      <c r="Q12" s="16"/>
      <c r="R12" s="16"/>
      <c r="S12" s="16"/>
      <c r="T12" s="16"/>
      <c r="U12" s="16"/>
    </row>
    <row r="13">
      <c r="A13" s="4" t="s">
        <v>49</v>
      </c>
      <c r="B13" s="17"/>
      <c r="C13" s="16">
        <v>4.25101E11</v>
      </c>
      <c r="D13" s="16">
        <v>3.16479E11</v>
      </c>
      <c r="E13" s="16">
        <v>2.93335E11</v>
      </c>
      <c r="F13" s="16">
        <v>2.34033E11</v>
      </c>
      <c r="G13" s="16">
        <v>2.10423E11</v>
      </c>
      <c r="H13" s="16">
        <v>1.85375E11</v>
      </c>
      <c r="I13" s="16">
        <v>2.08035E11</v>
      </c>
      <c r="J13" s="16">
        <v>1.56937E11</v>
      </c>
      <c r="K13" s="16">
        <v>1.75867E11</v>
      </c>
      <c r="L13" s="16">
        <v>8.9891E10</v>
      </c>
      <c r="M13" s="16"/>
      <c r="N13" s="16"/>
      <c r="O13" s="16"/>
      <c r="P13" s="16"/>
      <c r="Q13" s="16"/>
      <c r="R13" s="16"/>
      <c r="S13" s="16"/>
      <c r="T13" s="16"/>
      <c r="U13" s="16"/>
    </row>
    <row r="14">
      <c r="A14" s="23"/>
      <c r="B14" s="17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</row>
    <row r="15">
      <c r="A15" s="23" t="s">
        <v>50</v>
      </c>
      <c r="B15" s="14"/>
      <c r="C15" s="24">
        <f t="shared" ref="C15:L15" si="3">IF(OR(C$10="Semester",LEFT(C$2,2)="1H"),C$12/2,(C$12-(D$15*2))/2)</f>
        <v>770321500000</v>
      </c>
      <c r="D15" s="24">
        <f t="shared" si="3"/>
        <v>593165500000</v>
      </c>
      <c r="E15" s="24">
        <f t="shared" si="3"/>
        <v>544517500000</v>
      </c>
      <c r="F15" s="24">
        <f t="shared" si="3"/>
        <v>433698000000</v>
      </c>
      <c r="G15" s="24">
        <f t="shared" si="3"/>
        <v>397010500000</v>
      </c>
      <c r="H15" s="24">
        <f t="shared" si="3"/>
        <v>365712000000</v>
      </c>
      <c r="I15" s="24">
        <f t="shared" si="3"/>
        <v>343857000000</v>
      </c>
      <c r="J15" s="24">
        <f t="shared" si="3"/>
        <v>301639000000</v>
      </c>
      <c r="K15" s="24">
        <f t="shared" si="3"/>
        <v>280020500000</v>
      </c>
      <c r="L15" s="24">
        <f t="shared" si="3"/>
        <v>187517000000</v>
      </c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3" t="s">
        <v>51</v>
      </c>
      <c r="B16" s="17"/>
      <c r="C16" s="25">
        <f t="shared" ref="C16:L16" si="4">IF(OR(C$10="YTD",LEFT(C$2,2)="1H"),C$12,C$12+(D$15*2))</f>
        <v>2726974000000</v>
      </c>
      <c r="D16" s="25">
        <f t="shared" si="4"/>
        <v>1186331000000</v>
      </c>
      <c r="E16" s="25">
        <f t="shared" si="4"/>
        <v>1956431000000</v>
      </c>
      <c r="F16" s="25">
        <f t="shared" si="4"/>
        <v>867396000000</v>
      </c>
      <c r="G16" s="25">
        <f t="shared" si="4"/>
        <v>1525445000000</v>
      </c>
      <c r="H16" s="25">
        <f t="shared" si="4"/>
        <v>731424000000</v>
      </c>
      <c r="I16" s="25">
        <f t="shared" si="4"/>
        <v>1290992000000</v>
      </c>
      <c r="J16" s="25">
        <f t="shared" si="4"/>
        <v>603278000000</v>
      </c>
      <c r="K16" s="25">
        <f t="shared" si="4"/>
        <v>935075000000</v>
      </c>
      <c r="L16" s="25">
        <f t="shared" si="4"/>
        <v>375034000000</v>
      </c>
      <c r="M16" s="14"/>
      <c r="N16" s="14"/>
      <c r="O16" s="14"/>
      <c r="P16" s="14"/>
      <c r="Q16" s="14"/>
      <c r="R16" s="14"/>
      <c r="S16" s="14"/>
      <c r="T16" s="14"/>
      <c r="U16" s="14"/>
    </row>
    <row r="17">
      <c r="A17" s="23" t="s">
        <v>52</v>
      </c>
      <c r="B17" s="17"/>
      <c r="C17" s="26">
        <f t="shared" ref="C17:L17" si="5">(C$16-E$16)/ABS(E$16)</f>
        <v>0.3938513548</v>
      </c>
      <c r="D17" s="26">
        <f t="shared" si="5"/>
        <v>0.3676924957</v>
      </c>
      <c r="E17" s="26">
        <f t="shared" si="5"/>
        <v>0.2825313269</v>
      </c>
      <c r="F17" s="26">
        <f t="shared" si="5"/>
        <v>0.1859003806</v>
      </c>
      <c r="G17" s="26">
        <f t="shared" si="5"/>
        <v>0.1816068574</v>
      </c>
      <c r="H17" s="26">
        <f t="shared" si="5"/>
        <v>0.2124161663</v>
      </c>
      <c r="I17" s="26">
        <f t="shared" si="5"/>
        <v>0.3806293613</v>
      </c>
      <c r="J17" s="26">
        <f t="shared" si="5"/>
        <v>0.6085954873</v>
      </c>
      <c r="K17" s="26" t="str">
        <f t="shared" si="5"/>
        <v>#DIV/0!</v>
      </c>
      <c r="L17" s="26" t="str">
        <f t="shared" si="5"/>
        <v>#DIV/0!</v>
      </c>
      <c r="M17" s="26"/>
      <c r="N17" s="26"/>
      <c r="O17" s="26"/>
      <c r="P17" s="26"/>
      <c r="Q17" s="26"/>
      <c r="R17" s="26"/>
      <c r="S17" s="26"/>
      <c r="T17" s="26"/>
      <c r="U17" s="26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>
      <c r="A19" s="23" t="s">
        <v>53</v>
      </c>
      <c r="B19" s="14"/>
      <c r="C19" s="24">
        <f t="shared" ref="C19:L19" si="6">IF(OR(C$10="Semester",LEFT(C$2,2)="1H"),C$13/2,(C$13-(D$19*2))/2)</f>
        <v>212550500000</v>
      </c>
      <c r="D19" s="24">
        <f t="shared" si="6"/>
        <v>158239500000</v>
      </c>
      <c r="E19" s="24">
        <f t="shared" si="6"/>
        <v>146667500000</v>
      </c>
      <c r="F19" s="24">
        <f t="shared" si="6"/>
        <v>117016500000</v>
      </c>
      <c r="G19" s="24">
        <f t="shared" si="6"/>
        <v>105211500000</v>
      </c>
      <c r="H19" s="24">
        <f t="shared" si="6"/>
        <v>92687500000</v>
      </c>
      <c r="I19" s="24">
        <f t="shared" si="6"/>
        <v>104017500000</v>
      </c>
      <c r="J19" s="24">
        <f t="shared" si="6"/>
        <v>78468500000</v>
      </c>
      <c r="K19" s="24">
        <f t="shared" si="6"/>
        <v>87933500000</v>
      </c>
      <c r="L19" s="24">
        <f t="shared" si="6"/>
        <v>44945500000</v>
      </c>
      <c r="M19" s="24"/>
      <c r="N19" s="24"/>
      <c r="O19" s="24"/>
      <c r="P19" s="24"/>
      <c r="Q19" s="24"/>
      <c r="R19" s="24"/>
      <c r="S19" s="24"/>
      <c r="T19" s="24"/>
      <c r="U19" s="24"/>
    </row>
    <row r="20">
      <c r="A20" s="23" t="s">
        <v>54</v>
      </c>
      <c r="B20" s="14"/>
      <c r="C20" s="25">
        <f t="shared" ref="C20:L20" si="7">IF(OR(C$10="YTD",LEFT(C$2,2)="1H"),C$13,C$13+(D$19*2))</f>
        <v>741580000000</v>
      </c>
      <c r="D20" s="25">
        <f t="shared" si="7"/>
        <v>316479000000</v>
      </c>
      <c r="E20" s="25">
        <f t="shared" si="7"/>
        <v>527368000000</v>
      </c>
      <c r="F20" s="25">
        <f t="shared" si="7"/>
        <v>234033000000</v>
      </c>
      <c r="G20" s="25">
        <f t="shared" si="7"/>
        <v>395798000000</v>
      </c>
      <c r="H20" s="25">
        <f t="shared" si="7"/>
        <v>185375000000</v>
      </c>
      <c r="I20" s="25">
        <f t="shared" si="7"/>
        <v>364972000000</v>
      </c>
      <c r="J20" s="25">
        <f t="shared" si="7"/>
        <v>156937000000</v>
      </c>
      <c r="K20" s="25">
        <f t="shared" si="7"/>
        <v>265758000000</v>
      </c>
      <c r="L20" s="25">
        <f t="shared" si="7"/>
        <v>89891000000</v>
      </c>
      <c r="M20" s="14"/>
      <c r="N20" s="14"/>
      <c r="O20" s="14"/>
      <c r="P20" s="14"/>
      <c r="Q20" s="14"/>
      <c r="R20" s="14"/>
      <c r="S20" s="14"/>
      <c r="T20" s="14"/>
      <c r="U20" s="14"/>
    </row>
    <row r="21">
      <c r="A21" s="23" t="s">
        <v>55</v>
      </c>
      <c r="B21" s="14"/>
      <c r="C21" s="26">
        <f t="shared" ref="C21:L21" si="8">(C$20-E$20)/ABS(E$20)</f>
        <v>0.4061907435</v>
      </c>
      <c r="D21" s="26">
        <f t="shared" si="8"/>
        <v>0.3522836523</v>
      </c>
      <c r="E21" s="26">
        <f t="shared" si="8"/>
        <v>0.332417041</v>
      </c>
      <c r="F21" s="26">
        <f t="shared" si="8"/>
        <v>0.2624841537</v>
      </c>
      <c r="G21" s="26">
        <f t="shared" si="8"/>
        <v>0.08446127374</v>
      </c>
      <c r="H21" s="26">
        <f t="shared" si="8"/>
        <v>0.1812064714</v>
      </c>
      <c r="I21" s="26">
        <f t="shared" si="8"/>
        <v>0.3733246036</v>
      </c>
      <c r="J21" s="26">
        <f t="shared" si="8"/>
        <v>0.7458588735</v>
      </c>
      <c r="K21" s="26" t="str">
        <f t="shared" si="8"/>
        <v>#DIV/0!</v>
      </c>
      <c r="L21" s="26" t="str">
        <f t="shared" si="8"/>
        <v>#DIV/0!</v>
      </c>
      <c r="M21" s="26"/>
      <c r="N21" s="26"/>
      <c r="O21" s="26"/>
      <c r="P21" s="26"/>
      <c r="Q21" s="26"/>
      <c r="R21" s="26"/>
      <c r="S21" s="26"/>
      <c r="T21" s="26"/>
      <c r="U21" s="26"/>
    </row>
    <row r="22">
      <c r="A22" s="23"/>
      <c r="B22" s="17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</row>
    <row r="23">
      <c r="A23" s="4" t="s">
        <v>56</v>
      </c>
      <c r="B23" s="14"/>
      <c r="C23" s="24">
        <v>5.898968E8</v>
      </c>
      <c r="D23" s="24">
        <v>5.898968E8</v>
      </c>
      <c r="E23" s="24">
        <v>5.898968E8</v>
      </c>
      <c r="F23" s="24">
        <v>5.898968E8</v>
      </c>
      <c r="G23" s="24">
        <v>5.898968E8</v>
      </c>
      <c r="H23" s="24">
        <v>5.898968E8</v>
      </c>
      <c r="I23" s="24">
        <v>5.898968E8</v>
      </c>
      <c r="J23" s="24">
        <v>5.898968E8</v>
      </c>
      <c r="K23" s="24">
        <v>5.898968E8</v>
      </c>
      <c r="L23" s="24">
        <v>5.898968E8</v>
      </c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14"/>
      <c r="B24" s="14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</row>
    <row r="25">
      <c r="A25" s="21" t="s">
        <v>57</v>
      </c>
      <c r="B25" s="11" t="str">
        <f t="shared" ref="B25:L25" si="9">B$2</f>
        <v>Current</v>
      </c>
      <c r="C25" s="11" t="str">
        <f t="shared" si="9"/>
        <v>FY2025</v>
      </c>
      <c r="D25" s="11" t="str">
        <f t="shared" si="9"/>
        <v>1H2025</v>
      </c>
      <c r="E25" s="11" t="str">
        <f t="shared" si="9"/>
        <v>FY2024</v>
      </c>
      <c r="F25" s="11" t="str">
        <f t="shared" si="9"/>
        <v>1H2024</v>
      </c>
      <c r="G25" s="11" t="str">
        <f t="shared" si="9"/>
        <v>FY2023</v>
      </c>
      <c r="H25" s="11" t="str">
        <f t="shared" si="9"/>
        <v>1H2023</v>
      </c>
      <c r="I25" s="11" t="str">
        <f t="shared" si="9"/>
        <v>FY2022</v>
      </c>
      <c r="J25" s="11" t="str">
        <f t="shared" si="9"/>
        <v>1H2022</v>
      </c>
      <c r="K25" s="11" t="str">
        <f t="shared" si="9"/>
        <v>FY2021</v>
      </c>
      <c r="L25" s="11" t="str">
        <f t="shared" si="9"/>
        <v>1H2021</v>
      </c>
      <c r="M25" s="36"/>
      <c r="N25" s="36"/>
      <c r="O25" s="36"/>
      <c r="P25" s="36"/>
      <c r="Q25" s="36"/>
      <c r="R25" s="36"/>
      <c r="S25" s="36"/>
      <c r="T25" s="36"/>
      <c r="U25" s="36"/>
    </row>
    <row r="26">
      <c r="A26" s="4" t="s">
        <v>58</v>
      </c>
      <c r="B26" s="14"/>
      <c r="C26" s="24">
        <v>3.000703E12</v>
      </c>
      <c r="D26" s="24">
        <v>2.57498E12</v>
      </c>
      <c r="E26" s="24">
        <v>2.258501E12</v>
      </c>
      <c r="F26" s="24">
        <v>1.963841E12</v>
      </c>
      <c r="G26" s="24">
        <v>1.729808E12</v>
      </c>
      <c r="H26" s="24">
        <v>1.520211E12</v>
      </c>
      <c r="I26" s="24">
        <v>1.334836E12</v>
      </c>
      <c r="J26" s="24">
        <v>1.126754E12</v>
      </c>
      <c r="K26" s="24">
        <v>9.69817E11</v>
      </c>
      <c r="L26" s="24">
        <v>7.90399E11</v>
      </c>
      <c r="M26" s="24"/>
      <c r="N26" s="24"/>
      <c r="O26" s="24"/>
      <c r="P26" s="24"/>
      <c r="Q26" s="24"/>
      <c r="R26" s="24"/>
      <c r="S26" s="24"/>
      <c r="T26" s="24"/>
      <c r="U26" s="24"/>
    </row>
    <row r="27">
      <c r="A27" s="14"/>
      <c r="B27" s="14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</row>
    <row r="28">
      <c r="A28" s="28" t="s">
        <v>59</v>
      </c>
      <c r="B28" s="29" t="str">
        <f t="shared" ref="B28:L28" si="10">B$2</f>
        <v>Current</v>
      </c>
      <c r="C28" s="11" t="str">
        <f t="shared" si="10"/>
        <v>FY2025</v>
      </c>
      <c r="D28" s="11" t="str">
        <f t="shared" si="10"/>
        <v>1H2025</v>
      </c>
      <c r="E28" s="11" t="str">
        <f t="shared" si="10"/>
        <v>FY2024</v>
      </c>
      <c r="F28" s="11" t="str">
        <f t="shared" si="10"/>
        <v>1H2024</v>
      </c>
      <c r="G28" s="11" t="str">
        <f t="shared" si="10"/>
        <v>FY2023</v>
      </c>
      <c r="H28" s="11" t="str">
        <f t="shared" si="10"/>
        <v>1H2023</v>
      </c>
      <c r="I28" s="11" t="str">
        <f t="shared" si="10"/>
        <v>FY2022</v>
      </c>
      <c r="J28" s="11" t="str">
        <f t="shared" si="10"/>
        <v>1H2022</v>
      </c>
      <c r="K28" s="11" t="str">
        <f t="shared" si="10"/>
        <v>FY2021</v>
      </c>
      <c r="L28" s="11" t="str">
        <f t="shared" si="10"/>
        <v>1H2021</v>
      </c>
      <c r="M28" s="36"/>
      <c r="N28" s="36"/>
      <c r="O28" s="36"/>
      <c r="P28" s="36"/>
      <c r="Q28" s="36"/>
      <c r="R28" s="36"/>
      <c r="S28" s="36"/>
      <c r="T28" s="36"/>
      <c r="U28" s="36"/>
    </row>
    <row r="29">
      <c r="A29" s="30" t="s">
        <v>60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</row>
    <row r="30">
      <c r="A30" s="23" t="s">
        <v>61</v>
      </c>
      <c r="B30" s="14"/>
      <c r="C30" s="6">
        <f t="shared" ref="C30:L30" si="11">C$19*C$1/C$23</f>
        <v>360.3181099</v>
      </c>
      <c r="D30" s="6">
        <f t="shared" si="11"/>
        <v>268.2494633</v>
      </c>
      <c r="E30" s="6">
        <f t="shared" si="11"/>
        <v>248.6324727</v>
      </c>
      <c r="F30" s="6">
        <f t="shared" si="11"/>
        <v>198.3677484</v>
      </c>
      <c r="G30" s="6">
        <f t="shared" si="11"/>
        <v>178.3557734</v>
      </c>
      <c r="H30" s="6">
        <f t="shared" si="11"/>
        <v>157.1249412</v>
      </c>
      <c r="I30" s="6">
        <f t="shared" si="11"/>
        <v>176.3316906</v>
      </c>
      <c r="J30" s="6">
        <f t="shared" si="11"/>
        <v>133.020725</v>
      </c>
      <c r="K30" s="6">
        <f t="shared" si="11"/>
        <v>149.0659044</v>
      </c>
      <c r="L30" s="6">
        <f t="shared" si="11"/>
        <v>76.19214073</v>
      </c>
      <c r="M30" s="6"/>
      <c r="N30" s="6"/>
      <c r="O30" s="6"/>
      <c r="P30" s="6"/>
      <c r="Q30" s="6"/>
      <c r="R30" s="6"/>
      <c r="S30" s="6"/>
      <c r="T30" s="6"/>
      <c r="U30" s="6"/>
    </row>
    <row r="31">
      <c r="A31" s="23" t="s">
        <v>62</v>
      </c>
      <c r="B31" s="14"/>
      <c r="C31" s="6">
        <f t="shared" ref="C31:L31" si="12">IF(LEFT(C$2,2)="1H",C$30*2,SUM(C$30:D$30)*2)</f>
        <v>1257.135146</v>
      </c>
      <c r="D31" s="6">
        <f t="shared" si="12"/>
        <v>536.4989266</v>
      </c>
      <c r="E31" s="6">
        <f t="shared" si="12"/>
        <v>894.0004421</v>
      </c>
      <c r="F31" s="6">
        <f t="shared" si="12"/>
        <v>396.7354968</v>
      </c>
      <c r="G31" s="6">
        <f t="shared" si="12"/>
        <v>670.9614292</v>
      </c>
      <c r="H31" s="6">
        <f t="shared" si="12"/>
        <v>314.2498824</v>
      </c>
      <c r="I31" s="6">
        <f t="shared" si="12"/>
        <v>618.7048311</v>
      </c>
      <c r="J31" s="6">
        <f t="shared" si="12"/>
        <v>266.04145</v>
      </c>
      <c r="K31" s="6">
        <f t="shared" si="12"/>
        <v>450.5160903</v>
      </c>
      <c r="L31" s="6">
        <f t="shared" si="12"/>
        <v>152.3842815</v>
      </c>
      <c r="M31" s="6"/>
      <c r="N31" s="6"/>
      <c r="O31" s="6"/>
      <c r="P31" s="6"/>
      <c r="Q31" s="6"/>
      <c r="R31" s="6"/>
      <c r="S31" s="6"/>
      <c r="T31" s="6"/>
      <c r="U31" s="6"/>
    </row>
    <row r="32">
      <c r="A32" s="14" t="s">
        <v>63</v>
      </c>
      <c r="B32" s="14"/>
      <c r="C32" s="6">
        <f t="shared" ref="C32:L32" si="13">C$26*C$1/C$23</f>
        <v>5086.827052</v>
      </c>
      <c r="D32" s="6">
        <f t="shared" si="13"/>
        <v>4365.13641</v>
      </c>
      <c r="E32" s="6">
        <f t="shared" si="13"/>
        <v>3828.637484</v>
      </c>
      <c r="F32" s="6">
        <f t="shared" si="13"/>
        <v>3329.126383</v>
      </c>
      <c r="G32" s="6">
        <f t="shared" si="13"/>
        <v>2932.390886</v>
      </c>
      <c r="H32" s="6">
        <f t="shared" si="13"/>
        <v>2577.079584</v>
      </c>
      <c r="I32" s="6">
        <f t="shared" si="13"/>
        <v>2262.829702</v>
      </c>
      <c r="J32" s="6">
        <f t="shared" si="13"/>
        <v>1910.086646</v>
      </c>
      <c r="K32" s="6">
        <f t="shared" si="13"/>
        <v>1644.045196</v>
      </c>
      <c r="L32" s="6">
        <f t="shared" si="13"/>
        <v>1339.89369</v>
      </c>
      <c r="M32" s="6"/>
      <c r="N32" s="6"/>
      <c r="O32" s="6"/>
      <c r="P32" s="6"/>
      <c r="Q32" s="6"/>
      <c r="R32" s="6"/>
      <c r="S32" s="6"/>
      <c r="T32" s="6"/>
      <c r="U32" s="6"/>
    </row>
    <row r="33">
      <c r="A33" s="14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</row>
    <row r="34">
      <c r="A34" s="30" t="s">
        <v>64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</row>
    <row r="35">
      <c r="A35" s="14" t="s">
        <v>65</v>
      </c>
      <c r="B35" s="6">
        <f>$B$3/(SUM(OFFSET($B$30,0,1,1,2))*2)</f>
        <v>25.93197724</v>
      </c>
      <c r="C35" s="6">
        <f t="shared" ref="C35:L35" si="14">C$3/(SUM(C$30:D$30)*2)</f>
        <v>12.26996162</v>
      </c>
      <c r="D35" s="6">
        <f t="shared" si="14"/>
        <v>10.47144352</v>
      </c>
      <c r="E35" s="6">
        <f t="shared" si="14"/>
        <v>10.17896588</v>
      </c>
      <c r="F35" s="6">
        <f t="shared" si="14"/>
        <v>14.03549206</v>
      </c>
      <c r="G35" s="6">
        <f t="shared" si="14"/>
        <v>14.41960682</v>
      </c>
      <c r="H35" s="6">
        <f t="shared" si="14"/>
        <v>12.70779945</v>
      </c>
      <c r="I35" s="6">
        <f t="shared" si="14"/>
        <v>11.59680617</v>
      </c>
      <c r="J35" s="6">
        <f t="shared" si="14"/>
        <v>11.8314718</v>
      </c>
      <c r="K35" s="6">
        <f t="shared" si="14"/>
        <v>7.302735842</v>
      </c>
      <c r="L35" s="6">
        <f t="shared" si="14"/>
        <v>12.79659543</v>
      </c>
      <c r="M35" s="6"/>
      <c r="N35" s="6"/>
      <c r="O35" s="6"/>
      <c r="P35" s="6"/>
      <c r="Q35" s="6"/>
      <c r="R35" s="6"/>
      <c r="S35" s="6"/>
      <c r="T35" s="6"/>
      <c r="U35" s="6"/>
    </row>
    <row r="36">
      <c r="A36" s="23" t="s">
        <v>66</v>
      </c>
      <c r="B36" s="6">
        <f>$B$3/OFFSET($B$32,0,1)</f>
        <v>6.408710119</v>
      </c>
      <c r="C36" s="6">
        <f t="shared" ref="C36:L36" si="15">C$3/C$32</f>
        <v>3.032342134</v>
      </c>
      <c r="D36" s="6">
        <f t="shared" si="15"/>
        <v>2.479876683</v>
      </c>
      <c r="E36" s="6">
        <f t="shared" si="15"/>
        <v>2.376824664</v>
      </c>
      <c r="F36" s="6">
        <f t="shared" si="15"/>
        <v>3.176509025</v>
      </c>
      <c r="G36" s="6">
        <f t="shared" si="15"/>
        <v>3.299355501</v>
      </c>
      <c r="H36" s="6">
        <f t="shared" si="15"/>
        <v>3.28860624</v>
      </c>
      <c r="I36" s="6">
        <f t="shared" si="15"/>
        <v>3.170808654</v>
      </c>
      <c r="J36" s="6">
        <f t="shared" si="15"/>
        <v>3.494605868</v>
      </c>
      <c r="K36" s="6">
        <f t="shared" si="15"/>
        <v>2.00116153</v>
      </c>
      <c r="L36" s="6">
        <f t="shared" si="15"/>
        <v>1.455339341</v>
      </c>
      <c r="M36" s="6"/>
      <c r="N36" s="6"/>
      <c r="O36" s="6"/>
      <c r="P36" s="6"/>
      <c r="Q36" s="6"/>
      <c r="R36" s="6"/>
      <c r="S36" s="6"/>
      <c r="T36" s="6"/>
      <c r="U36" s="6"/>
    </row>
    <row r="37">
      <c r="A37" s="23" t="s">
        <v>67</v>
      </c>
      <c r="B37" s="6">
        <f>B$35/OFFSET($B43,0,1)/100</f>
        <v>1.138271294</v>
      </c>
      <c r="C37" s="6">
        <f t="shared" ref="C37:L37" si="16">C$35/C$43/100</f>
        <v>0.5385838868</v>
      </c>
      <c r="D37" s="6">
        <f t="shared" si="16"/>
        <v>0.2244452237</v>
      </c>
      <c r="E37" s="6" t="str">
        <f t="shared" si="16"/>
        <v>#DIV/0!</v>
      </c>
      <c r="F37" s="6" t="str">
        <f t="shared" si="16"/>
        <v>#DIV/0!</v>
      </c>
      <c r="G37" s="6" t="str">
        <f t="shared" si="16"/>
        <v>#DIV/0!</v>
      </c>
      <c r="H37" s="6" t="str">
        <f t="shared" si="16"/>
        <v>#DIV/0!</v>
      </c>
      <c r="I37" s="6" t="str">
        <f t="shared" si="16"/>
        <v>#DIV/0!</v>
      </c>
      <c r="J37" s="6" t="str">
        <f t="shared" si="16"/>
        <v>#DIV/0!</v>
      </c>
      <c r="K37" s="6" t="str">
        <f t="shared" si="16"/>
        <v>#DIV/0!</v>
      </c>
      <c r="L37" s="6" t="str">
        <f t="shared" si="16"/>
        <v>#DIV/0!</v>
      </c>
      <c r="M37" s="6"/>
      <c r="N37" s="6"/>
      <c r="O37" s="6"/>
      <c r="P37" s="6"/>
      <c r="Q37" s="6"/>
      <c r="R37" s="6"/>
      <c r="S37" s="6"/>
      <c r="T37" s="6"/>
      <c r="U37" s="6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>
      <c r="A39" s="30" t="s">
        <v>68</v>
      </c>
      <c r="B39" s="31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>
      <c r="A40" s="14" t="s">
        <v>69</v>
      </c>
      <c r="B40" s="31"/>
      <c r="C40" s="32">
        <f t="shared" ref="C40:L40" si="17">C$20/ABS(C$16)</f>
        <v>0.2719424534</v>
      </c>
      <c r="D40" s="32">
        <f t="shared" si="17"/>
        <v>0.2667712468</v>
      </c>
      <c r="E40" s="32">
        <f t="shared" si="17"/>
        <v>0.2695561459</v>
      </c>
      <c r="F40" s="32">
        <f t="shared" si="17"/>
        <v>0.2698110206</v>
      </c>
      <c r="G40" s="32">
        <f t="shared" si="17"/>
        <v>0.2594639597</v>
      </c>
      <c r="H40" s="32">
        <f t="shared" si="17"/>
        <v>0.2534439668</v>
      </c>
      <c r="I40" s="32">
        <f t="shared" si="17"/>
        <v>0.2827066318</v>
      </c>
      <c r="J40" s="32">
        <f t="shared" si="17"/>
        <v>0.2601404328</v>
      </c>
      <c r="K40" s="32">
        <f t="shared" si="17"/>
        <v>0.2842103575</v>
      </c>
      <c r="L40" s="32">
        <f t="shared" si="17"/>
        <v>0.2396876017</v>
      </c>
      <c r="M40" s="32"/>
      <c r="N40" s="32"/>
      <c r="O40" s="32"/>
      <c r="P40" s="32"/>
      <c r="Q40" s="32"/>
      <c r="R40" s="32"/>
      <c r="S40" s="32"/>
      <c r="T40" s="32"/>
      <c r="U40" s="32"/>
    </row>
    <row r="41">
      <c r="A41" s="14"/>
      <c r="B41" s="31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</row>
    <row r="42">
      <c r="A42" s="21" t="s">
        <v>70</v>
      </c>
      <c r="B42" s="29" t="str">
        <f t="shared" ref="B42:L42" si="18">B$2</f>
        <v>Current</v>
      </c>
      <c r="C42" s="11" t="str">
        <f t="shared" si="18"/>
        <v>FY2025</v>
      </c>
      <c r="D42" s="11" t="str">
        <f t="shared" si="18"/>
        <v>1H2025</v>
      </c>
      <c r="E42" s="11" t="str">
        <f t="shared" si="18"/>
        <v>FY2024</v>
      </c>
      <c r="F42" s="11" t="str">
        <f t="shared" si="18"/>
        <v>1H2024</v>
      </c>
      <c r="G42" s="11" t="str">
        <f t="shared" si="18"/>
        <v>FY2023</v>
      </c>
      <c r="H42" s="11" t="str">
        <f t="shared" si="18"/>
        <v>1H2023</v>
      </c>
      <c r="I42" s="11" t="str">
        <f t="shared" si="18"/>
        <v>FY2022</v>
      </c>
      <c r="J42" s="11" t="str">
        <f t="shared" si="18"/>
        <v>1H2022</v>
      </c>
      <c r="K42" s="11" t="str">
        <f t="shared" si="18"/>
        <v>FY2021</v>
      </c>
      <c r="L42" s="11" t="str">
        <f t="shared" si="18"/>
        <v>1H2021</v>
      </c>
      <c r="M42" s="36"/>
      <c r="N42" s="36"/>
      <c r="O42" s="36"/>
      <c r="P42" s="36"/>
      <c r="Q42" s="36"/>
      <c r="R42" s="36"/>
      <c r="S42" s="36"/>
      <c r="T42" s="36"/>
      <c r="U42" s="36"/>
    </row>
    <row r="43">
      <c r="A43" s="23" t="s">
        <v>71</v>
      </c>
      <c r="B43" s="17"/>
      <c r="C43" s="8">
        <f t="shared" ref="C43:L43" si="19">(SUM(C$30:D$30)/SUM(K$30:L$30))^(1/5)-1</f>
        <v>0.2278189512</v>
      </c>
      <c r="D43" s="8">
        <f t="shared" si="19"/>
        <v>0.4665478439</v>
      </c>
      <c r="E43" s="8" t="str">
        <f t="shared" si="19"/>
        <v>#DIV/0!</v>
      </c>
      <c r="F43" s="8" t="str">
        <f t="shared" si="19"/>
        <v>#DIV/0!</v>
      </c>
      <c r="G43" s="8" t="str">
        <f t="shared" si="19"/>
        <v>#DIV/0!</v>
      </c>
      <c r="H43" s="8" t="str">
        <f t="shared" si="19"/>
        <v>#DIV/0!</v>
      </c>
      <c r="I43" s="8" t="str">
        <f t="shared" si="19"/>
        <v>#DIV/0!</v>
      </c>
      <c r="J43" s="8" t="str">
        <f t="shared" si="19"/>
        <v>#DIV/0!</v>
      </c>
      <c r="K43" s="8" t="str">
        <f t="shared" si="19"/>
        <v>#DIV/0!</v>
      </c>
      <c r="L43" s="8" t="str">
        <f t="shared" si="19"/>
        <v>#DIV/0!</v>
      </c>
      <c r="M43" s="8"/>
      <c r="N43" s="8"/>
      <c r="O43" s="8"/>
      <c r="P43" s="8"/>
      <c r="Q43" s="8"/>
      <c r="R43" s="8"/>
      <c r="S43" s="8"/>
      <c r="T43" s="8"/>
      <c r="U43" s="8"/>
    </row>
    <row r="44">
      <c r="A44" s="23"/>
      <c r="B44" s="1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>
      <c r="A45" s="23" t="s">
        <v>72</v>
      </c>
      <c r="B45" s="37">
        <f t="shared" ref="B45:B46" si="21">OFFSET($B45,0,1)</f>
        <v>22.78189512</v>
      </c>
      <c r="C45" s="6">
        <f t="shared" ref="C45:L45" si="20">C$43*100</f>
        <v>22.78189512</v>
      </c>
      <c r="D45" s="6">
        <f t="shared" si="20"/>
        <v>46.65478439</v>
      </c>
      <c r="E45" s="6" t="str">
        <f t="shared" si="20"/>
        <v>#DIV/0!</v>
      </c>
      <c r="F45" s="6" t="str">
        <f t="shared" si="20"/>
        <v>#DIV/0!</v>
      </c>
      <c r="G45" s="6" t="str">
        <f t="shared" si="20"/>
        <v>#DIV/0!</v>
      </c>
      <c r="H45" s="6" t="str">
        <f t="shared" si="20"/>
        <v>#DIV/0!</v>
      </c>
      <c r="I45" s="6" t="str">
        <f t="shared" si="20"/>
        <v>#DIV/0!</v>
      </c>
      <c r="J45" s="6" t="str">
        <f t="shared" si="20"/>
        <v>#DIV/0!</v>
      </c>
      <c r="K45" s="6" t="str">
        <f t="shared" si="20"/>
        <v>#DIV/0!</v>
      </c>
      <c r="L45" s="6" t="str">
        <f t="shared" si="20"/>
        <v>#DIV/0!</v>
      </c>
      <c r="M45" s="6"/>
      <c r="N45" s="6"/>
      <c r="O45" s="6"/>
      <c r="P45" s="6"/>
      <c r="Q45" s="6"/>
      <c r="R45" s="6"/>
      <c r="S45" s="6"/>
      <c r="T45" s="6"/>
      <c r="U45" s="6"/>
    </row>
    <row r="46">
      <c r="A46" s="23" t="s">
        <v>73</v>
      </c>
      <c r="B46" s="38">
        <f t="shared" si="21"/>
        <v>28639.92106</v>
      </c>
      <c r="C46" s="34">
        <f t="shared" ref="C46:L46" si="22">C$45*(SUM(C$30:D$30)*2)</f>
        <v>28639.92106</v>
      </c>
      <c r="D46" s="34">
        <f t="shared" si="22"/>
        <v>48230.03056</v>
      </c>
      <c r="E46" s="34" t="str">
        <f t="shared" si="22"/>
        <v>#DIV/0!</v>
      </c>
      <c r="F46" s="34" t="str">
        <f t="shared" si="22"/>
        <v>#DIV/0!</v>
      </c>
      <c r="G46" s="34" t="str">
        <f t="shared" si="22"/>
        <v>#DIV/0!</v>
      </c>
      <c r="H46" s="34" t="str">
        <f t="shared" si="22"/>
        <v>#DIV/0!</v>
      </c>
      <c r="I46" s="34" t="str">
        <f t="shared" si="22"/>
        <v>#DIV/0!</v>
      </c>
      <c r="J46" s="34" t="str">
        <f t="shared" si="22"/>
        <v>#DIV/0!</v>
      </c>
      <c r="K46" s="34" t="str">
        <f t="shared" si="22"/>
        <v>#DIV/0!</v>
      </c>
      <c r="L46" s="34" t="str">
        <f t="shared" si="22"/>
        <v>#DIV/0!</v>
      </c>
      <c r="M46" s="34"/>
      <c r="N46" s="34"/>
      <c r="O46" s="34"/>
      <c r="P46" s="34"/>
      <c r="Q46" s="34"/>
      <c r="R46" s="34"/>
      <c r="S46" s="34"/>
      <c r="T46" s="34"/>
      <c r="U46" s="34"/>
    </row>
    <row r="47">
      <c r="A47" s="23" t="s">
        <v>74</v>
      </c>
      <c r="B47" s="8">
        <f t="shared" ref="B47:L47" si="23">(B$46-B$3)/ABS(B$3)</f>
        <v>-0.1214748142</v>
      </c>
      <c r="C47" s="8">
        <f t="shared" si="23"/>
        <v>0.8567209761</v>
      </c>
      <c r="D47" s="8">
        <f t="shared" si="23"/>
        <v>3.455430075</v>
      </c>
      <c r="E47" s="8" t="str">
        <f t="shared" si="23"/>
        <v>#DIV/0!</v>
      </c>
      <c r="F47" s="8" t="str">
        <f t="shared" si="23"/>
        <v>#DIV/0!</v>
      </c>
      <c r="G47" s="8" t="str">
        <f t="shared" si="23"/>
        <v>#DIV/0!</v>
      </c>
      <c r="H47" s="8" t="str">
        <f t="shared" si="23"/>
        <v>#DIV/0!</v>
      </c>
      <c r="I47" s="8" t="str">
        <f t="shared" si="23"/>
        <v>#DIV/0!</v>
      </c>
      <c r="J47" s="8" t="str">
        <f t="shared" si="23"/>
        <v>#DIV/0!</v>
      </c>
      <c r="K47" s="8" t="str">
        <f t="shared" si="23"/>
        <v>#DIV/0!</v>
      </c>
      <c r="L47" s="8" t="str">
        <f t="shared" si="23"/>
        <v>#DIV/0!</v>
      </c>
      <c r="M47" s="8"/>
      <c r="N47" s="8"/>
      <c r="O47" s="8"/>
      <c r="P47" s="8"/>
      <c r="Q47" s="8"/>
      <c r="R47" s="8"/>
      <c r="S47" s="8"/>
      <c r="T47" s="8"/>
      <c r="U47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0.13"/>
    <col customWidth="1" min="2" max="12" width="19.5"/>
    <col customWidth="1" min="13" max="21" width="2.0"/>
  </cols>
  <sheetData>
    <row r="1">
      <c r="A1" s="3" t="s">
        <v>15</v>
      </c>
      <c r="B1" s="4" t="s">
        <v>75</v>
      </c>
      <c r="C1" s="7">
        <f t="array" ref="C1">IF(C$7="Local Currency",1,_xlfn.XLOOKUP(C$2,OFFSET(Dashboard!$A:$A,0,MATCH(C$7,Dashboard!$1:$1,0)-1),OFFSET(Dashboard!$A:$A,0,MATCH(C$7,Dashboard!$1:$1,0))))</f>
        <v>1</v>
      </c>
      <c r="D1" s="7">
        <f t="array" ref="D1">IF(D$7="Local Currency",1,_xlfn.XLOOKUP(D$2,OFFSET(Dashboard!$A:$A,0,MATCH(D$7,Dashboard!$1:$1,0)-1),OFFSET(Dashboard!$A:$A,0,MATCH(D$7,Dashboard!$1:$1,0))))</f>
        <v>1</v>
      </c>
      <c r="E1" s="7">
        <f t="array" ref="E1">IF(E$7="Local Currency",1,_xlfn.XLOOKUP(E$2,OFFSET(Dashboard!$A:$A,0,MATCH(E$7,Dashboard!$1:$1,0)-1),OFFSET(Dashboard!$A:$A,0,MATCH(E$7,Dashboard!$1:$1,0))))</f>
        <v>1</v>
      </c>
      <c r="F1" s="7">
        <f t="array" ref="F1">IF(F$7="Local Currency",1,_xlfn.XLOOKUP(F$2,OFFSET(Dashboard!$A:$A,0,MATCH(F$7,Dashboard!$1:$1,0)-1),OFFSET(Dashboard!$A:$A,0,MATCH(F$7,Dashboard!$1:$1,0))))</f>
        <v>1</v>
      </c>
      <c r="G1" s="7">
        <f t="array" ref="G1">IF(G$7="Local Currency",1,_xlfn.XLOOKUP(G$2,OFFSET(Dashboard!$A:$A,0,MATCH(G$7,Dashboard!$1:$1,0)-1),OFFSET(Dashboard!$A:$A,0,MATCH(G$7,Dashboard!$1:$1,0))))</f>
        <v>1</v>
      </c>
      <c r="H1" s="7">
        <f t="array" ref="H1">IF(H$7="Local Currency",1,_xlfn.XLOOKUP(H$2,OFFSET(Dashboard!$A:$A,0,MATCH(H$7,Dashboard!$1:$1,0)-1),OFFSET(Dashboard!$A:$A,0,MATCH(H$7,Dashboard!$1:$1,0))))</f>
        <v>1</v>
      </c>
      <c r="I1" s="7">
        <f t="array" ref="I1">IF(I$7="Local Currency",1,_xlfn.XLOOKUP(I$2,OFFSET(Dashboard!$A:$A,0,MATCH(I$7,Dashboard!$1:$1,0)-1),OFFSET(Dashboard!$A:$A,0,MATCH(I$7,Dashboard!$1:$1,0))))</f>
        <v>1</v>
      </c>
      <c r="J1" s="7">
        <f t="array" ref="J1">IF(J$7="Local Currency",1,_xlfn.XLOOKUP(J$2,OFFSET(Dashboard!$A:$A,0,MATCH(J$7,Dashboard!$1:$1,0)-1),OFFSET(Dashboard!$A:$A,0,MATCH(J$7,Dashboard!$1:$1,0))))</f>
        <v>1</v>
      </c>
      <c r="K1" s="7">
        <f t="array" ref="K1">IF(K$7="Local Currency",1,_xlfn.XLOOKUP(K$2,OFFSET(Dashboard!$A:$A,0,MATCH(K$7,Dashboard!$1:$1,0)-1),OFFSET(Dashboard!$A:$A,0,MATCH(K$7,Dashboard!$1:$1,0))))</f>
        <v>1</v>
      </c>
      <c r="L1" s="7">
        <f t="array" ref="L1">IF(L$7="Local Currency",1,_xlfn.XLOOKUP(L$2,OFFSET(Dashboard!$A:$A,0,MATCH(L$7,Dashboard!$1:$1,0)-1),OFFSET(Dashboard!$A:$A,0,MATCH(L$7,Dashboard!$1:$1,0))))</f>
        <v>1</v>
      </c>
      <c r="M1" s="24"/>
      <c r="N1" s="24"/>
      <c r="O1" s="24"/>
      <c r="P1" s="24"/>
      <c r="Q1" s="24"/>
      <c r="R1" s="24"/>
      <c r="S1" s="24"/>
      <c r="T1" s="24"/>
      <c r="U1" s="24"/>
    </row>
    <row r="2">
      <c r="A2" s="10" t="s">
        <v>18</v>
      </c>
      <c r="B2" s="11" t="s">
        <v>19</v>
      </c>
      <c r="C2" s="12" t="s">
        <v>20</v>
      </c>
      <c r="D2" s="11" t="s">
        <v>22</v>
      </c>
      <c r="E2" s="12" t="s">
        <v>24</v>
      </c>
      <c r="F2" s="11" t="s">
        <v>26</v>
      </c>
      <c r="G2" s="12" t="s">
        <v>28</v>
      </c>
      <c r="H2" s="12" t="s">
        <v>30</v>
      </c>
      <c r="I2" s="12" t="s">
        <v>32</v>
      </c>
      <c r="J2" s="12" t="s">
        <v>34</v>
      </c>
      <c r="K2" s="12" t="s">
        <v>36</v>
      </c>
      <c r="L2" s="12" t="s">
        <v>38</v>
      </c>
      <c r="M2" s="35"/>
      <c r="N2" s="35"/>
      <c r="O2" s="35"/>
      <c r="P2" s="35"/>
      <c r="Q2" s="35"/>
      <c r="R2" s="35"/>
      <c r="S2" s="35"/>
      <c r="T2" s="35"/>
      <c r="U2" s="35"/>
    </row>
    <row r="3">
      <c r="A3" s="4" t="s">
        <v>40</v>
      </c>
      <c r="B3" s="13">
        <v>32600.0</v>
      </c>
      <c r="C3" s="13">
        <v>15425.0</v>
      </c>
      <c r="D3" s="13">
        <v>10825.0</v>
      </c>
      <c r="E3" s="13">
        <v>9100.0</v>
      </c>
      <c r="F3" s="13">
        <v>10575.0</v>
      </c>
      <c r="G3" s="13">
        <v>9675.0</v>
      </c>
      <c r="H3" s="13">
        <v>8475.0</v>
      </c>
      <c r="I3" s="13">
        <v>7175.0</v>
      </c>
      <c r="J3" s="13">
        <v>6675.0</v>
      </c>
      <c r="K3" s="13">
        <v>3290.0</v>
      </c>
      <c r="L3" s="13">
        <v>1950.0</v>
      </c>
      <c r="M3" s="13"/>
      <c r="N3" s="13"/>
      <c r="O3" s="13"/>
      <c r="P3" s="13"/>
      <c r="Q3" s="13"/>
      <c r="R3" s="13"/>
      <c r="S3" s="13"/>
      <c r="T3" s="13"/>
      <c r="U3" s="13"/>
    </row>
    <row r="4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>
      <c r="A5" s="14" t="s">
        <v>41</v>
      </c>
      <c r="B5" s="16">
        <f>B$3*OFFSET(B$5,0,1)/OFFSET(B$3,0,1)</f>
        <v>19230635680000</v>
      </c>
      <c r="C5" s="16">
        <f t="shared" ref="C5:L5" si="1">C$23*C$3</f>
        <v>9099158140000</v>
      </c>
      <c r="D5" s="16">
        <f t="shared" si="1"/>
        <v>6385632860000</v>
      </c>
      <c r="E5" s="16">
        <f t="shared" si="1"/>
        <v>5368060880000</v>
      </c>
      <c r="F5" s="16">
        <f t="shared" si="1"/>
        <v>6238158660000</v>
      </c>
      <c r="G5" s="16">
        <f t="shared" si="1"/>
        <v>5707251540000</v>
      </c>
      <c r="H5" s="16">
        <f t="shared" si="1"/>
        <v>4999375380000</v>
      </c>
      <c r="I5" s="16">
        <f t="shared" si="1"/>
        <v>4232509540000</v>
      </c>
      <c r="J5" s="16">
        <f t="shared" si="1"/>
        <v>3937561140000</v>
      </c>
      <c r="K5" s="16">
        <f t="shared" si="1"/>
        <v>1940760472000</v>
      </c>
      <c r="L5" s="16">
        <f t="shared" si="1"/>
        <v>1150298760000</v>
      </c>
      <c r="M5" s="16"/>
      <c r="N5" s="16"/>
      <c r="O5" s="16"/>
      <c r="P5" s="16"/>
      <c r="Q5" s="16"/>
      <c r="R5" s="16"/>
      <c r="S5" s="16"/>
      <c r="T5" s="16"/>
      <c r="U5" s="16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>
      <c r="A7" s="4" t="s">
        <v>42</v>
      </c>
      <c r="B7" s="19" t="str">
        <f t="array" ref="B7">IF(COUNTIF($C7:$ZZG7,INDEX($C7:$ZZG7,MATCH(TRUE,$C7:$ZZG7&lt;&gt;"",0)))=COUNTIF($C7:$ZZG7,"&lt;&gt;"),"All "&amp;INDEX($C7:$ZZG7,MATCH(TRUE,$C7:$ZZG7&lt;&gt;"",0)),INDEX($C7:$ZZG7,MATCH(MAX(INDEX(COUNTIF($C7:$ZZG7,$C7:$ZZG7),0)),INDEX(COUNTIF($C7:$ZZG7,$C7:$ZZG7),0),0))&amp;" Dominant")</f>
        <v>All Local Currency</v>
      </c>
      <c r="C7" s="19" t="s">
        <v>43</v>
      </c>
      <c r="D7" s="19" t="s">
        <v>43</v>
      </c>
      <c r="E7" s="19" t="s">
        <v>43</v>
      </c>
      <c r="F7" s="19" t="s">
        <v>43</v>
      </c>
      <c r="G7" s="19" t="s">
        <v>43</v>
      </c>
      <c r="H7" s="19" t="s">
        <v>43</v>
      </c>
      <c r="I7" s="19" t="s">
        <v>43</v>
      </c>
      <c r="J7" s="19" t="s">
        <v>43</v>
      </c>
      <c r="K7" s="19" t="s">
        <v>43</v>
      </c>
      <c r="L7" s="19" t="s">
        <v>43</v>
      </c>
      <c r="M7" s="19"/>
      <c r="N7" s="19"/>
      <c r="O7" s="19"/>
      <c r="P7" s="19"/>
      <c r="Q7" s="19"/>
      <c r="R7" s="19"/>
      <c r="S7" s="19"/>
      <c r="T7" s="19"/>
      <c r="U7" s="19"/>
    </row>
    <row r="8">
      <c r="A8" s="17"/>
      <c r="B8" s="20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>
      <c r="A9" s="21" t="s">
        <v>44</v>
      </c>
      <c r="B9" s="11" t="str">
        <f t="shared" ref="B9:L9" si="2">B$2</f>
        <v>Current</v>
      </c>
      <c r="C9" s="11" t="str">
        <f t="shared" si="2"/>
        <v>FY2025</v>
      </c>
      <c r="D9" s="11" t="str">
        <f t="shared" si="2"/>
        <v>1H2025</v>
      </c>
      <c r="E9" s="11" t="str">
        <f t="shared" si="2"/>
        <v>FY2024</v>
      </c>
      <c r="F9" s="11" t="str">
        <f t="shared" si="2"/>
        <v>1H2024</v>
      </c>
      <c r="G9" s="11" t="str">
        <f t="shared" si="2"/>
        <v>FY2023</v>
      </c>
      <c r="H9" s="11" t="str">
        <f t="shared" si="2"/>
        <v>1H2023</v>
      </c>
      <c r="I9" s="11" t="str">
        <f t="shared" si="2"/>
        <v>FY2022</v>
      </c>
      <c r="J9" s="11" t="str">
        <f t="shared" si="2"/>
        <v>1H2022</v>
      </c>
      <c r="K9" s="11" t="str">
        <f t="shared" si="2"/>
        <v>FY2021</v>
      </c>
      <c r="L9" s="11" t="str">
        <f t="shared" si="2"/>
        <v>1H2021</v>
      </c>
      <c r="M9" s="36"/>
      <c r="N9" s="36"/>
      <c r="O9" s="36"/>
      <c r="P9" s="36"/>
      <c r="Q9" s="36"/>
      <c r="R9" s="36"/>
      <c r="S9" s="36"/>
      <c r="T9" s="36"/>
      <c r="U9" s="36"/>
    </row>
    <row r="10">
      <c r="A10" s="4" t="s">
        <v>45</v>
      </c>
      <c r="B10" s="19" t="str">
        <f t="array" ref="B10">IF(COUNTIF($C10:$ZZG10,INDEX($C10:$ZZG10,MATCH(TRUE,$C10:$ZZG10&lt;&gt;"",0)))=COUNTIF($C10:$ZZG10,"&lt;&gt;"),"All "&amp;INDEX($C10:$ZZG10,MATCH(TRUE,$C10:$ZZG10&lt;&gt;"",0)),INDEX($C10:$ZZG10,MATCH(MAX(INDEX(COUNTIF($C10:$ZZG10,$C10:$ZZG10),0)),INDEX(COUNTIF($C10:$ZZG10,$C10:$ZZG10),0),0))&amp;" Dominant")</f>
        <v>Semester Dominant</v>
      </c>
      <c r="C10" s="22" t="s">
        <v>76</v>
      </c>
      <c r="D10" s="22" t="s">
        <v>47</v>
      </c>
      <c r="E10" s="22" t="s">
        <v>76</v>
      </c>
      <c r="F10" s="22" t="s">
        <v>47</v>
      </c>
      <c r="G10" s="22" t="s">
        <v>76</v>
      </c>
      <c r="H10" s="22" t="s">
        <v>47</v>
      </c>
      <c r="I10" s="22" t="s">
        <v>47</v>
      </c>
      <c r="J10" s="22" t="s">
        <v>76</v>
      </c>
      <c r="K10" s="22" t="s">
        <v>47</v>
      </c>
      <c r="L10" s="22" t="s">
        <v>76</v>
      </c>
      <c r="M10" s="22"/>
      <c r="N10" s="22"/>
      <c r="O10" s="22"/>
      <c r="P10" s="22"/>
      <c r="Q10" s="22"/>
      <c r="R10" s="22"/>
      <c r="S10" s="22"/>
      <c r="T10" s="22"/>
      <c r="U10" s="22"/>
    </row>
    <row r="11">
      <c r="A11" s="23"/>
      <c r="B11" s="17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>
      <c r="A12" s="4" t="s">
        <v>48</v>
      </c>
      <c r="B12" s="17"/>
      <c r="C12" s="16">
        <v>1.540643E12</v>
      </c>
      <c r="D12" s="24">
        <v>1.186331E12</v>
      </c>
      <c r="E12" s="16">
        <v>1.089035E12</v>
      </c>
      <c r="F12" s="16">
        <v>8.67396E11</v>
      </c>
      <c r="G12" s="16">
        <v>7.94021E11</v>
      </c>
      <c r="H12" s="16">
        <v>7.31424E11</v>
      </c>
      <c r="I12" s="24">
        <v>1.290992E12</v>
      </c>
      <c r="J12" s="16">
        <v>6.03278E11</v>
      </c>
      <c r="K12" s="24">
        <v>9.35075E11</v>
      </c>
      <c r="L12" s="16">
        <v>3.75034E11</v>
      </c>
      <c r="M12" s="16"/>
      <c r="N12" s="16"/>
      <c r="O12" s="16"/>
      <c r="P12" s="16"/>
      <c r="Q12" s="16"/>
      <c r="R12" s="16"/>
      <c r="S12" s="16"/>
      <c r="T12" s="16"/>
      <c r="U12" s="16"/>
    </row>
    <row r="13">
      <c r="A13" s="4" t="s">
        <v>49</v>
      </c>
      <c r="B13" s="17"/>
      <c r="C13" s="16">
        <v>4.25101E11</v>
      </c>
      <c r="D13" s="24">
        <v>3.16479E11</v>
      </c>
      <c r="E13" s="16">
        <v>2.93335E11</v>
      </c>
      <c r="F13" s="16">
        <v>2.34033E11</v>
      </c>
      <c r="G13" s="16">
        <v>2.10423E11</v>
      </c>
      <c r="H13" s="16">
        <v>1.85375E11</v>
      </c>
      <c r="I13" s="24">
        <v>3.64972E11</v>
      </c>
      <c r="J13" s="16">
        <v>1.56937E11</v>
      </c>
      <c r="K13" s="24">
        <v>2.65758E11</v>
      </c>
      <c r="L13" s="16">
        <v>8.9891E10</v>
      </c>
      <c r="M13" s="16"/>
      <c r="N13" s="16"/>
      <c r="O13" s="16"/>
      <c r="P13" s="16"/>
      <c r="Q13" s="16"/>
      <c r="R13" s="16"/>
      <c r="S13" s="16"/>
      <c r="T13" s="16"/>
      <c r="U13" s="16"/>
    </row>
    <row r="14">
      <c r="A14" s="23"/>
      <c r="B14" s="17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</row>
    <row r="15">
      <c r="A15" s="23" t="s">
        <v>50</v>
      </c>
      <c r="B15" s="14"/>
      <c r="C15" s="24">
        <f t="shared" ref="C15:L15" si="3">IF(OR(C$10="Semester",LEFT(C$2,2)="1H"),C$12/2,(C$12-(D$15*2))/2)</f>
        <v>770321500000</v>
      </c>
      <c r="D15" s="24">
        <f t="shared" si="3"/>
        <v>593165500000</v>
      </c>
      <c r="E15" s="24">
        <f t="shared" si="3"/>
        <v>544517500000</v>
      </c>
      <c r="F15" s="24">
        <f t="shared" si="3"/>
        <v>433698000000</v>
      </c>
      <c r="G15" s="24">
        <f t="shared" si="3"/>
        <v>397010500000</v>
      </c>
      <c r="H15" s="24">
        <f t="shared" si="3"/>
        <v>365712000000</v>
      </c>
      <c r="I15" s="24">
        <f t="shared" si="3"/>
        <v>343857000000</v>
      </c>
      <c r="J15" s="24">
        <f t="shared" si="3"/>
        <v>301639000000</v>
      </c>
      <c r="K15" s="24">
        <f t="shared" si="3"/>
        <v>280020500000</v>
      </c>
      <c r="L15" s="24">
        <f t="shared" si="3"/>
        <v>187517000000</v>
      </c>
      <c r="M15" s="24"/>
      <c r="N15" s="24"/>
      <c r="O15" s="24"/>
      <c r="P15" s="24"/>
      <c r="Q15" s="24"/>
      <c r="R15" s="24"/>
      <c r="S15" s="24"/>
      <c r="T15" s="24"/>
      <c r="U15" s="24"/>
    </row>
    <row r="16">
      <c r="A16" s="23" t="s">
        <v>51</v>
      </c>
      <c r="B16" s="17"/>
      <c r="C16" s="25">
        <f t="shared" ref="C16:L16" si="4">IF(OR(C$10="YTD",LEFT(C$2,2)="1H"),C$12,C$12+(D$15*2))</f>
        <v>2726974000000</v>
      </c>
      <c r="D16" s="25">
        <f t="shared" si="4"/>
        <v>1186331000000</v>
      </c>
      <c r="E16" s="25">
        <f t="shared" si="4"/>
        <v>1956431000000</v>
      </c>
      <c r="F16" s="25">
        <f t="shared" si="4"/>
        <v>867396000000</v>
      </c>
      <c r="G16" s="25">
        <f t="shared" si="4"/>
        <v>1525445000000</v>
      </c>
      <c r="H16" s="25">
        <f t="shared" si="4"/>
        <v>731424000000</v>
      </c>
      <c r="I16" s="25">
        <f t="shared" si="4"/>
        <v>1290992000000</v>
      </c>
      <c r="J16" s="25">
        <f t="shared" si="4"/>
        <v>603278000000</v>
      </c>
      <c r="K16" s="25">
        <f t="shared" si="4"/>
        <v>935075000000</v>
      </c>
      <c r="L16" s="25">
        <f t="shared" si="4"/>
        <v>375034000000</v>
      </c>
      <c r="M16" s="14"/>
      <c r="N16" s="14"/>
      <c r="O16" s="14"/>
      <c r="P16" s="14"/>
      <c r="Q16" s="14"/>
      <c r="R16" s="14"/>
      <c r="S16" s="14"/>
      <c r="T16" s="14"/>
      <c r="U16" s="14"/>
    </row>
    <row r="17">
      <c r="A17" s="23" t="s">
        <v>52</v>
      </c>
      <c r="B17" s="17"/>
      <c r="C17" s="26">
        <f t="shared" ref="C17:L17" si="5">(C$16-E$16)/ABS(E$16)</f>
        <v>0.3938513548</v>
      </c>
      <c r="D17" s="26">
        <f t="shared" si="5"/>
        <v>0.3676924957</v>
      </c>
      <c r="E17" s="26">
        <f t="shared" si="5"/>
        <v>0.2825313269</v>
      </c>
      <c r="F17" s="26">
        <f t="shared" si="5"/>
        <v>0.1859003806</v>
      </c>
      <c r="G17" s="26">
        <f t="shared" si="5"/>
        <v>0.1816068574</v>
      </c>
      <c r="H17" s="26">
        <f t="shared" si="5"/>
        <v>0.2124161663</v>
      </c>
      <c r="I17" s="26">
        <f t="shared" si="5"/>
        <v>0.3806293613</v>
      </c>
      <c r="J17" s="26">
        <f t="shared" si="5"/>
        <v>0.6085954873</v>
      </c>
      <c r="K17" s="26" t="str">
        <f t="shared" si="5"/>
        <v>#DIV/0!</v>
      </c>
      <c r="L17" s="26" t="str">
        <f t="shared" si="5"/>
        <v>#DIV/0!</v>
      </c>
      <c r="M17" s="26"/>
      <c r="N17" s="26"/>
      <c r="O17" s="26"/>
      <c r="P17" s="26"/>
      <c r="Q17" s="26"/>
      <c r="R17" s="26"/>
      <c r="S17" s="26"/>
      <c r="T17" s="26"/>
      <c r="U17" s="26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>
      <c r="A19" s="23" t="s">
        <v>53</v>
      </c>
      <c r="B19" s="14"/>
      <c r="C19" s="24">
        <f t="shared" ref="C19:L19" si="6">IF(OR(C$10="Semester",LEFT(C$2,2)="1H"),C$13/2,(C$13-(D$19*2))/2)</f>
        <v>212550500000</v>
      </c>
      <c r="D19" s="24">
        <f t="shared" si="6"/>
        <v>158239500000</v>
      </c>
      <c r="E19" s="24">
        <f t="shared" si="6"/>
        <v>146667500000</v>
      </c>
      <c r="F19" s="24">
        <f t="shared" si="6"/>
        <v>117016500000</v>
      </c>
      <c r="G19" s="24">
        <f t="shared" si="6"/>
        <v>105211500000</v>
      </c>
      <c r="H19" s="24">
        <f t="shared" si="6"/>
        <v>92687500000</v>
      </c>
      <c r="I19" s="24">
        <f t="shared" si="6"/>
        <v>104017500000</v>
      </c>
      <c r="J19" s="24">
        <f t="shared" si="6"/>
        <v>78468500000</v>
      </c>
      <c r="K19" s="24">
        <f t="shared" si="6"/>
        <v>87933500000</v>
      </c>
      <c r="L19" s="24">
        <f t="shared" si="6"/>
        <v>44945500000</v>
      </c>
      <c r="M19" s="24"/>
      <c r="N19" s="24"/>
      <c r="O19" s="24"/>
      <c r="P19" s="24"/>
      <c r="Q19" s="24"/>
      <c r="R19" s="24"/>
      <c r="S19" s="24"/>
      <c r="T19" s="24"/>
      <c r="U19" s="24"/>
    </row>
    <row r="20">
      <c r="A20" s="23" t="s">
        <v>54</v>
      </c>
      <c r="B20" s="14"/>
      <c r="C20" s="25">
        <f t="shared" ref="C20:L20" si="7">IF(OR(C$10="YTD",LEFT(C$2,2)="1H"),C$13,C$13+(D$19*2))</f>
        <v>741580000000</v>
      </c>
      <c r="D20" s="25">
        <f t="shared" si="7"/>
        <v>316479000000</v>
      </c>
      <c r="E20" s="25">
        <f t="shared" si="7"/>
        <v>527368000000</v>
      </c>
      <c r="F20" s="25">
        <f t="shared" si="7"/>
        <v>234033000000</v>
      </c>
      <c r="G20" s="25">
        <f t="shared" si="7"/>
        <v>395798000000</v>
      </c>
      <c r="H20" s="25">
        <f t="shared" si="7"/>
        <v>185375000000</v>
      </c>
      <c r="I20" s="25">
        <f t="shared" si="7"/>
        <v>364972000000</v>
      </c>
      <c r="J20" s="25">
        <f t="shared" si="7"/>
        <v>156937000000</v>
      </c>
      <c r="K20" s="25">
        <f t="shared" si="7"/>
        <v>265758000000</v>
      </c>
      <c r="L20" s="25">
        <f t="shared" si="7"/>
        <v>89891000000</v>
      </c>
      <c r="M20" s="14"/>
      <c r="N20" s="14"/>
      <c r="O20" s="14"/>
      <c r="P20" s="14"/>
      <c r="Q20" s="14"/>
      <c r="R20" s="14"/>
      <c r="S20" s="14"/>
      <c r="T20" s="14"/>
      <c r="U20" s="14"/>
    </row>
    <row r="21">
      <c r="A21" s="23" t="s">
        <v>55</v>
      </c>
      <c r="B21" s="14"/>
      <c r="C21" s="26">
        <f t="shared" ref="C21:L21" si="8">(C$20-E$20)/ABS(E$20)</f>
        <v>0.4061907435</v>
      </c>
      <c r="D21" s="26">
        <f t="shared" si="8"/>
        <v>0.3522836523</v>
      </c>
      <c r="E21" s="26">
        <f t="shared" si="8"/>
        <v>0.332417041</v>
      </c>
      <c r="F21" s="26">
        <f t="shared" si="8"/>
        <v>0.2624841537</v>
      </c>
      <c r="G21" s="26">
        <f t="shared" si="8"/>
        <v>0.08446127374</v>
      </c>
      <c r="H21" s="26">
        <f t="shared" si="8"/>
        <v>0.1812064714</v>
      </c>
      <c r="I21" s="26">
        <f t="shared" si="8"/>
        <v>0.3733246036</v>
      </c>
      <c r="J21" s="26">
        <f t="shared" si="8"/>
        <v>0.7458588735</v>
      </c>
      <c r="K21" s="26" t="str">
        <f t="shared" si="8"/>
        <v>#DIV/0!</v>
      </c>
      <c r="L21" s="26" t="str">
        <f t="shared" si="8"/>
        <v>#DIV/0!</v>
      </c>
      <c r="M21" s="26"/>
      <c r="N21" s="26"/>
      <c r="O21" s="26"/>
      <c r="P21" s="26"/>
      <c r="Q21" s="26"/>
      <c r="R21" s="26"/>
      <c r="S21" s="26"/>
      <c r="T21" s="26"/>
      <c r="U21" s="26"/>
    </row>
    <row r="22">
      <c r="A22" s="23"/>
      <c r="B22" s="17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</row>
    <row r="23">
      <c r="A23" s="4" t="s">
        <v>56</v>
      </c>
      <c r="B23" s="14"/>
      <c r="C23" s="24">
        <v>5.898968E8</v>
      </c>
      <c r="D23" s="24">
        <v>5.898968E8</v>
      </c>
      <c r="E23" s="24">
        <v>5.898968E8</v>
      </c>
      <c r="F23" s="24">
        <v>5.898968E8</v>
      </c>
      <c r="G23" s="24">
        <v>5.898968E8</v>
      </c>
      <c r="H23" s="24">
        <v>5.898968E8</v>
      </c>
      <c r="I23" s="24">
        <v>5.898968E8</v>
      </c>
      <c r="J23" s="24">
        <v>5.898968E8</v>
      </c>
      <c r="K23" s="24">
        <v>5.898968E8</v>
      </c>
      <c r="L23" s="24">
        <v>5.898968E8</v>
      </c>
      <c r="M23" s="24"/>
      <c r="N23" s="24"/>
      <c r="O23" s="24"/>
      <c r="P23" s="24"/>
      <c r="Q23" s="24"/>
      <c r="R23" s="24"/>
      <c r="S23" s="24"/>
      <c r="T23" s="24"/>
      <c r="U23" s="24"/>
    </row>
    <row r="24">
      <c r="A24" s="14"/>
      <c r="B24" s="14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</row>
    <row r="25">
      <c r="A25" s="21" t="s">
        <v>57</v>
      </c>
      <c r="B25" s="11" t="str">
        <f t="shared" ref="B25:L25" si="9">B$2</f>
        <v>Current</v>
      </c>
      <c r="C25" s="11" t="str">
        <f t="shared" si="9"/>
        <v>FY2025</v>
      </c>
      <c r="D25" s="11" t="str">
        <f t="shared" si="9"/>
        <v>1H2025</v>
      </c>
      <c r="E25" s="11" t="str">
        <f t="shared" si="9"/>
        <v>FY2024</v>
      </c>
      <c r="F25" s="11" t="str">
        <f t="shared" si="9"/>
        <v>1H2024</v>
      </c>
      <c r="G25" s="11" t="str">
        <f t="shared" si="9"/>
        <v>FY2023</v>
      </c>
      <c r="H25" s="11" t="str">
        <f t="shared" si="9"/>
        <v>1H2023</v>
      </c>
      <c r="I25" s="11" t="str">
        <f t="shared" si="9"/>
        <v>FY2022</v>
      </c>
      <c r="J25" s="11" t="str">
        <f t="shared" si="9"/>
        <v>1H2022</v>
      </c>
      <c r="K25" s="11" t="str">
        <f t="shared" si="9"/>
        <v>FY2021</v>
      </c>
      <c r="L25" s="11" t="str">
        <f t="shared" si="9"/>
        <v>1H2021</v>
      </c>
      <c r="M25" s="36"/>
      <c r="N25" s="36"/>
      <c r="O25" s="36"/>
      <c r="P25" s="36"/>
      <c r="Q25" s="36"/>
      <c r="R25" s="36"/>
      <c r="S25" s="36"/>
      <c r="T25" s="36"/>
      <c r="U25" s="36"/>
    </row>
    <row r="26">
      <c r="A26" s="4" t="s">
        <v>58</v>
      </c>
      <c r="B26" s="14"/>
      <c r="C26" s="24">
        <v>3.000703E12</v>
      </c>
      <c r="D26" s="24">
        <v>2.57498E12</v>
      </c>
      <c r="E26" s="24">
        <v>2.258501E12</v>
      </c>
      <c r="F26" s="24">
        <v>1.963841E12</v>
      </c>
      <c r="G26" s="24">
        <v>1.729808E12</v>
      </c>
      <c r="H26" s="24">
        <v>1.520211E12</v>
      </c>
      <c r="I26" s="24">
        <v>1.334836E12</v>
      </c>
      <c r="J26" s="24">
        <v>1.126754E12</v>
      </c>
      <c r="K26" s="24">
        <v>9.69817E11</v>
      </c>
      <c r="L26" s="24">
        <v>7.90399E11</v>
      </c>
      <c r="M26" s="24"/>
      <c r="N26" s="24"/>
      <c r="O26" s="24"/>
      <c r="P26" s="24"/>
      <c r="Q26" s="24"/>
      <c r="R26" s="24"/>
      <c r="S26" s="24"/>
      <c r="T26" s="24"/>
      <c r="U26" s="24"/>
    </row>
    <row r="27">
      <c r="A27" s="14"/>
      <c r="B27" s="14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</row>
    <row r="28">
      <c r="A28" s="28" t="s">
        <v>59</v>
      </c>
      <c r="B28" s="29" t="str">
        <f t="shared" ref="B28:L28" si="10">B$2</f>
        <v>Current</v>
      </c>
      <c r="C28" s="11" t="str">
        <f t="shared" si="10"/>
        <v>FY2025</v>
      </c>
      <c r="D28" s="11" t="str">
        <f t="shared" si="10"/>
        <v>1H2025</v>
      </c>
      <c r="E28" s="11" t="str">
        <f t="shared" si="10"/>
        <v>FY2024</v>
      </c>
      <c r="F28" s="11" t="str">
        <f t="shared" si="10"/>
        <v>1H2024</v>
      </c>
      <c r="G28" s="11" t="str">
        <f t="shared" si="10"/>
        <v>FY2023</v>
      </c>
      <c r="H28" s="11" t="str">
        <f t="shared" si="10"/>
        <v>1H2023</v>
      </c>
      <c r="I28" s="11" t="str">
        <f t="shared" si="10"/>
        <v>FY2022</v>
      </c>
      <c r="J28" s="11" t="str">
        <f t="shared" si="10"/>
        <v>1H2022</v>
      </c>
      <c r="K28" s="11" t="str">
        <f t="shared" si="10"/>
        <v>FY2021</v>
      </c>
      <c r="L28" s="11" t="str">
        <f t="shared" si="10"/>
        <v>1H2021</v>
      </c>
      <c r="M28" s="36"/>
      <c r="N28" s="36"/>
      <c r="O28" s="36"/>
      <c r="P28" s="36"/>
      <c r="Q28" s="36"/>
      <c r="R28" s="36"/>
      <c r="S28" s="36"/>
      <c r="T28" s="36"/>
      <c r="U28" s="36"/>
    </row>
    <row r="29">
      <c r="A29" s="30" t="s">
        <v>60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</row>
    <row r="30">
      <c r="A30" s="23" t="s">
        <v>61</v>
      </c>
      <c r="B30" s="14"/>
      <c r="C30" s="6">
        <f t="shared" ref="C30:L30" si="11">C$19*C$1/C$23</f>
        <v>360.3181099</v>
      </c>
      <c r="D30" s="6">
        <f t="shared" si="11"/>
        <v>268.2494633</v>
      </c>
      <c r="E30" s="6">
        <f t="shared" si="11"/>
        <v>248.6324727</v>
      </c>
      <c r="F30" s="6">
        <f t="shared" si="11"/>
        <v>198.3677484</v>
      </c>
      <c r="G30" s="6">
        <f t="shared" si="11"/>
        <v>178.3557734</v>
      </c>
      <c r="H30" s="6">
        <f t="shared" si="11"/>
        <v>157.1249412</v>
      </c>
      <c r="I30" s="6">
        <f t="shared" si="11"/>
        <v>176.3316906</v>
      </c>
      <c r="J30" s="6">
        <f t="shared" si="11"/>
        <v>133.020725</v>
      </c>
      <c r="K30" s="6">
        <f t="shared" si="11"/>
        <v>149.0659044</v>
      </c>
      <c r="L30" s="6">
        <f t="shared" si="11"/>
        <v>76.19214073</v>
      </c>
      <c r="M30" s="6"/>
      <c r="N30" s="6"/>
      <c r="O30" s="6"/>
      <c r="P30" s="6"/>
      <c r="Q30" s="6"/>
      <c r="R30" s="6"/>
      <c r="S30" s="6"/>
      <c r="T30" s="6"/>
      <c r="U30" s="6"/>
    </row>
    <row r="31">
      <c r="A31" s="23" t="s">
        <v>62</v>
      </c>
      <c r="B31" s="14"/>
      <c r="C31" s="6">
        <f t="shared" ref="C31:L31" si="12">IF(LEFT(C$2,2)="1H",C$30*2,SUM(C$30:D$30)*2)</f>
        <v>1257.135146</v>
      </c>
      <c r="D31" s="6">
        <f t="shared" si="12"/>
        <v>536.4989266</v>
      </c>
      <c r="E31" s="6">
        <f t="shared" si="12"/>
        <v>894.0004421</v>
      </c>
      <c r="F31" s="6">
        <f t="shared" si="12"/>
        <v>396.7354968</v>
      </c>
      <c r="G31" s="6">
        <f t="shared" si="12"/>
        <v>670.9614292</v>
      </c>
      <c r="H31" s="6">
        <f t="shared" si="12"/>
        <v>314.2498824</v>
      </c>
      <c r="I31" s="6">
        <f t="shared" si="12"/>
        <v>618.7048311</v>
      </c>
      <c r="J31" s="6">
        <f t="shared" si="12"/>
        <v>266.04145</v>
      </c>
      <c r="K31" s="6">
        <f t="shared" si="12"/>
        <v>450.5160903</v>
      </c>
      <c r="L31" s="6">
        <f t="shared" si="12"/>
        <v>152.3842815</v>
      </c>
      <c r="M31" s="6"/>
      <c r="N31" s="6"/>
      <c r="O31" s="6"/>
      <c r="P31" s="6"/>
      <c r="Q31" s="6"/>
      <c r="R31" s="6"/>
      <c r="S31" s="6"/>
      <c r="T31" s="6"/>
      <c r="U31" s="6"/>
    </row>
    <row r="32">
      <c r="A32" s="14" t="s">
        <v>63</v>
      </c>
      <c r="B32" s="14"/>
      <c r="C32" s="6">
        <f t="shared" ref="C32:L32" si="13">C$26*C$1/C$23</f>
        <v>5086.827052</v>
      </c>
      <c r="D32" s="6">
        <f t="shared" si="13"/>
        <v>4365.13641</v>
      </c>
      <c r="E32" s="6">
        <f t="shared" si="13"/>
        <v>3828.637484</v>
      </c>
      <c r="F32" s="6">
        <f t="shared" si="13"/>
        <v>3329.126383</v>
      </c>
      <c r="G32" s="6">
        <f t="shared" si="13"/>
        <v>2932.390886</v>
      </c>
      <c r="H32" s="6">
        <f t="shared" si="13"/>
        <v>2577.079584</v>
      </c>
      <c r="I32" s="6">
        <f t="shared" si="13"/>
        <v>2262.829702</v>
      </c>
      <c r="J32" s="6">
        <f t="shared" si="13"/>
        <v>1910.086646</v>
      </c>
      <c r="K32" s="6">
        <f t="shared" si="13"/>
        <v>1644.045196</v>
      </c>
      <c r="L32" s="6">
        <f t="shared" si="13"/>
        <v>1339.89369</v>
      </c>
      <c r="M32" s="6"/>
      <c r="N32" s="6"/>
      <c r="O32" s="6"/>
      <c r="P32" s="6"/>
      <c r="Q32" s="6"/>
      <c r="R32" s="6"/>
      <c r="S32" s="6"/>
      <c r="T32" s="6"/>
      <c r="U32" s="6"/>
    </row>
    <row r="33">
      <c r="A33" s="14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</row>
    <row r="34">
      <c r="A34" s="30" t="s">
        <v>64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</row>
    <row r="35">
      <c r="A35" s="14" t="s">
        <v>65</v>
      </c>
      <c r="B35" s="6">
        <f>$B$3/(SUM(OFFSET($B$30,0,1,1,2))*2)</f>
        <v>25.93197724</v>
      </c>
      <c r="C35" s="6">
        <f t="shared" ref="C35:L35" si="14">C$3/(SUM(C$30:D$30)*2)</f>
        <v>12.26996162</v>
      </c>
      <c r="D35" s="6">
        <f t="shared" si="14"/>
        <v>10.47144352</v>
      </c>
      <c r="E35" s="6">
        <f t="shared" si="14"/>
        <v>10.17896588</v>
      </c>
      <c r="F35" s="6">
        <f t="shared" si="14"/>
        <v>14.03549206</v>
      </c>
      <c r="G35" s="6">
        <f t="shared" si="14"/>
        <v>14.41960682</v>
      </c>
      <c r="H35" s="6">
        <f t="shared" si="14"/>
        <v>12.70779945</v>
      </c>
      <c r="I35" s="6">
        <f t="shared" si="14"/>
        <v>11.59680617</v>
      </c>
      <c r="J35" s="6">
        <f t="shared" si="14"/>
        <v>11.8314718</v>
      </c>
      <c r="K35" s="6">
        <f t="shared" si="14"/>
        <v>7.302735842</v>
      </c>
      <c r="L35" s="6">
        <f t="shared" si="14"/>
        <v>12.79659543</v>
      </c>
      <c r="M35" s="6"/>
      <c r="N35" s="6"/>
      <c r="O35" s="6"/>
      <c r="P35" s="6"/>
      <c r="Q35" s="6"/>
      <c r="R35" s="6"/>
      <c r="S35" s="6"/>
      <c r="T35" s="6"/>
      <c r="U35" s="6"/>
    </row>
    <row r="36">
      <c r="A36" s="23" t="s">
        <v>66</v>
      </c>
      <c r="B36" s="6">
        <f>$B$3/OFFSET($B$32,0,1)</f>
        <v>6.408710119</v>
      </c>
      <c r="C36" s="6">
        <f t="shared" ref="C36:L36" si="15">C$3/C$32</f>
        <v>3.032342134</v>
      </c>
      <c r="D36" s="6">
        <f t="shared" si="15"/>
        <v>2.479876683</v>
      </c>
      <c r="E36" s="6">
        <f t="shared" si="15"/>
        <v>2.376824664</v>
      </c>
      <c r="F36" s="6">
        <f t="shared" si="15"/>
        <v>3.176509025</v>
      </c>
      <c r="G36" s="6">
        <f t="shared" si="15"/>
        <v>3.299355501</v>
      </c>
      <c r="H36" s="6">
        <f t="shared" si="15"/>
        <v>3.28860624</v>
      </c>
      <c r="I36" s="6">
        <f t="shared" si="15"/>
        <v>3.170808654</v>
      </c>
      <c r="J36" s="6">
        <f t="shared" si="15"/>
        <v>3.494605868</v>
      </c>
      <c r="K36" s="6">
        <f t="shared" si="15"/>
        <v>2.00116153</v>
      </c>
      <c r="L36" s="6">
        <f t="shared" si="15"/>
        <v>1.455339341</v>
      </c>
      <c r="M36" s="6"/>
      <c r="N36" s="6"/>
      <c r="O36" s="6"/>
      <c r="P36" s="6"/>
      <c r="Q36" s="6"/>
      <c r="R36" s="6"/>
      <c r="S36" s="6"/>
      <c r="T36" s="6"/>
      <c r="U36" s="6"/>
    </row>
    <row r="37">
      <c r="A37" s="23" t="s">
        <v>67</v>
      </c>
      <c r="B37" s="6">
        <f>B$35/OFFSET($B43,0,1)/100</f>
        <v>1.138271294</v>
      </c>
      <c r="C37" s="6">
        <f t="shared" ref="C37:L37" si="16">C$35/C$43/100</f>
        <v>0.5385838868</v>
      </c>
      <c r="D37" s="6">
        <f t="shared" si="16"/>
        <v>0.2244452237</v>
      </c>
      <c r="E37" s="6" t="str">
        <f t="shared" si="16"/>
        <v>#DIV/0!</v>
      </c>
      <c r="F37" s="6" t="str">
        <f t="shared" si="16"/>
        <v>#DIV/0!</v>
      </c>
      <c r="G37" s="6" t="str">
        <f t="shared" si="16"/>
        <v>#DIV/0!</v>
      </c>
      <c r="H37" s="6" t="str">
        <f t="shared" si="16"/>
        <v>#DIV/0!</v>
      </c>
      <c r="I37" s="6" t="str">
        <f t="shared" si="16"/>
        <v>#DIV/0!</v>
      </c>
      <c r="J37" s="6" t="str">
        <f t="shared" si="16"/>
        <v>#DIV/0!</v>
      </c>
      <c r="K37" s="6" t="str">
        <f t="shared" si="16"/>
        <v>#DIV/0!</v>
      </c>
      <c r="L37" s="6" t="str">
        <f t="shared" si="16"/>
        <v>#DIV/0!</v>
      </c>
      <c r="M37" s="6"/>
      <c r="N37" s="6"/>
      <c r="O37" s="6"/>
      <c r="P37" s="6"/>
      <c r="Q37" s="6"/>
      <c r="R37" s="6"/>
      <c r="S37" s="6"/>
      <c r="T37" s="6"/>
      <c r="U37" s="6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>
      <c r="A39" s="30" t="s">
        <v>68</v>
      </c>
      <c r="B39" s="31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>
      <c r="A40" s="14" t="s">
        <v>69</v>
      </c>
      <c r="B40" s="31"/>
      <c r="C40" s="32">
        <f t="shared" ref="C40:L40" si="17">C$20/ABS(C$16)</f>
        <v>0.2719424534</v>
      </c>
      <c r="D40" s="32">
        <f t="shared" si="17"/>
        <v>0.2667712468</v>
      </c>
      <c r="E40" s="32">
        <f t="shared" si="17"/>
        <v>0.2695561459</v>
      </c>
      <c r="F40" s="32">
        <f t="shared" si="17"/>
        <v>0.2698110206</v>
      </c>
      <c r="G40" s="32">
        <f t="shared" si="17"/>
        <v>0.2594639597</v>
      </c>
      <c r="H40" s="32">
        <f t="shared" si="17"/>
        <v>0.2534439668</v>
      </c>
      <c r="I40" s="32">
        <f t="shared" si="17"/>
        <v>0.2827066318</v>
      </c>
      <c r="J40" s="32">
        <f t="shared" si="17"/>
        <v>0.2601404328</v>
      </c>
      <c r="K40" s="32">
        <f t="shared" si="17"/>
        <v>0.2842103575</v>
      </c>
      <c r="L40" s="32">
        <f t="shared" si="17"/>
        <v>0.2396876017</v>
      </c>
      <c r="M40" s="32"/>
      <c r="N40" s="32"/>
      <c r="O40" s="32"/>
      <c r="P40" s="32"/>
      <c r="Q40" s="32"/>
      <c r="R40" s="32"/>
      <c r="S40" s="32"/>
      <c r="T40" s="32"/>
      <c r="U40" s="32"/>
    </row>
    <row r="41">
      <c r="A41" s="14"/>
      <c r="B41" s="31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</row>
    <row r="42">
      <c r="A42" s="21" t="s">
        <v>70</v>
      </c>
      <c r="B42" s="29" t="str">
        <f t="shared" ref="B42:L42" si="18">B$2</f>
        <v>Current</v>
      </c>
      <c r="C42" s="11" t="str">
        <f t="shared" si="18"/>
        <v>FY2025</v>
      </c>
      <c r="D42" s="11" t="str">
        <f t="shared" si="18"/>
        <v>1H2025</v>
      </c>
      <c r="E42" s="11" t="str">
        <f t="shared" si="18"/>
        <v>FY2024</v>
      </c>
      <c r="F42" s="11" t="str">
        <f t="shared" si="18"/>
        <v>1H2024</v>
      </c>
      <c r="G42" s="11" t="str">
        <f t="shared" si="18"/>
        <v>FY2023</v>
      </c>
      <c r="H42" s="11" t="str">
        <f t="shared" si="18"/>
        <v>1H2023</v>
      </c>
      <c r="I42" s="11" t="str">
        <f t="shared" si="18"/>
        <v>FY2022</v>
      </c>
      <c r="J42" s="11" t="str">
        <f t="shared" si="18"/>
        <v>1H2022</v>
      </c>
      <c r="K42" s="11" t="str">
        <f t="shared" si="18"/>
        <v>FY2021</v>
      </c>
      <c r="L42" s="11" t="str">
        <f t="shared" si="18"/>
        <v>1H2021</v>
      </c>
      <c r="M42" s="36"/>
      <c r="N42" s="36"/>
      <c r="O42" s="36"/>
      <c r="P42" s="36"/>
      <c r="Q42" s="36"/>
      <c r="R42" s="36"/>
      <c r="S42" s="36"/>
      <c r="T42" s="36"/>
      <c r="U42" s="36"/>
    </row>
    <row r="43">
      <c r="A43" s="23" t="s">
        <v>71</v>
      </c>
      <c r="B43" s="17"/>
      <c r="C43" s="8">
        <f t="shared" ref="C43:L43" si="19">(SUM(C$30:D$30)/SUM(K$30:L$30))^(1/5)-1</f>
        <v>0.2278189512</v>
      </c>
      <c r="D43" s="8">
        <f t="shared" si="19"/>
        <v>0.4665478439</v>
      </c>
      <c r="E43" s="8" t="str">
        <f t="shared" si="19"/>
        <v>#DIV/0!</v>
      </c>
      <c r="F43" s="8" t="str">
        <f t="shared" si="19"/>
        <v>#DIV/0!</v>
      </c>
      <c r="G43" s="8" t="str">
        <f t="shared" si="19"/>
        <v>#DIV/0!</v>
      </c>
      <c r="H43" s="8" t="str">
        <f t="shared" si="19"/>
        <v>#DIV/0!</v>
      </c>
      <c r="I43" s="8" t="str">
        <f t="shared" si="19"/>
        <v>#DIV/0!</v>
      </c>
      <c r="J43" s="8" t="str">
        <f t="shared" si="19"/>
        <v>#DIV/0!</v>
      </c>
      <c r="K43" s="8" t="str">
        <f t="shared" si="19"/>
        <v>#DIV/0!</v>
      </c>
      <c r="L43" s="8" t="str">
        <f t="shared" si="19"/>
        <v>#DIV/0!</v>
      </c>
      <c r="M43" s="8"/>
      <c r="N43" s="8"/>
      <c r="O43" s="8"/>
      <c r="P43" s="8"/>
      <c r="Q43" s="8"/>
      <c r="R43" s="8"/>
      <c r="S43" s="8"/>
      <c r="T43" s="8"/>
      <c r="U43" s="8"/>
    </row>
    <row r="44">
      <c r="A44" s="23"/>
      <c r="B44" s="1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>
      <c r="A45" s="23" t="s">
        <v>72</v>
      </c>
      <c r="B45" s="37">
        <f t="shared" ref="B45:B46" si="21">OFFSET($B45,0,1)</f>
        <v>22.78189512</v>
      </c>
      <c r="C45" s="6">
        <f t="shared" ref="C45:L45" si="20">C$43*100</f>
        <v>22.78189512</v>
      </c>
      <c r="D45" s="6">
        <f t="shared" si="20"/>
        <v>46.65478439</v>
      </c>
      <c r="E45" s="6" t="str">
        <f t="shared" si="20"/>
        <v>#DIV/0!</v>
      </c>
      <c r="F45" s="6" t="str">
        <f t="shared" si="20"/>
        <v>#DIV/0!</v>
      </c>
      <c r="G45" s="6" t="str">
        <f t="shared" si="20"/>
        <v>#DIV/0!</v>
      </c>
      <c r="H45" s="6" t="str">
        <f t="shared" si="20"/>
        <v>#DIV/0!</v>
      </c>
      <c r="I45" s="6" t="str">
        <f t="shared" si="20"/>
        <v>#DIV/0!</v>
      </c>
      <c r="J45" s="6" t="str">
        <f t="shared" si="20"/>
        <v>#DIV/0!</v>
      </c>
      <c r="K45" s="6" t="str">
        <f t="shared" si="20"/>
        <v>#DIV/0!</v>
      </c>
      <c r="L45" s="6" t="str">
        <f t="shared" si="20"/>
        <v>#DIV/0!</v>
      </c>
      <c r="M45" s="6"/>
      <c r="N45" s="6"/>
      <c r="O45" s="6"/>
      <c r="P45" s="6"/>
      <c r="Q45" s="6"/>
      <c r="R45" s="6"/>
      <c r="S45" s="6"/>
      <c r="T45" s="6"/>
      <c r="U45" s="6"/>
    </row>
    <row r="46">
      <c r="A46" s="23" t="s">
        <v>73</v>
      </c>
      <c r="B46" s="38">
        <f t="shared" si="21"/>
        <v>28639.92106</v>
      </c>
      <c r="C46" s="34">
        <f t="shared" ref="C46:L46" si="22">C$45*(SUM(C$30:D$30)*2)</f>
        <v>28639.92106</v>
      </c>
      <c r="D46" s="34">
        <f t="shared" si="22"/>
        <v>48230.03056</v>
      </c>
      <c r="E46" s="34" t="str">
        <f t="shared" si="22"/>
        <v>#DIV/0!</v>
      </c>
      <c r="F46" s="34" t="str">
        <f t="shared" si="22"/>
        <v>#DIV/0!</v>
      </c>
      <c r="G46" s="34" t="str">
        <f t="shared" si="22"/>
        <v>#DIV/0!</v>
      </c>
      <c r="H46" s="34" t="str">
        <f t="shared" si="22"/>
        <v>#DIV/0!</v>
      </c>
      <c r="I46" s="34" t="str">
        <f t="shared" si="22"/>
        <v>#DIV/0!</v>
      </c>
      <c r="J46" s="34" t="str">
        <f t="shared" si="22"/>
        <v>#DIV/0!</v>
      </c>
      <c r="K46" s="34" t="str">
        <f t="shared" si="22"/>
        <v>#DIV/0!</v>
      </c>
      <c r="L46" s="34" t="str">
        <f t="shared" si="22"/>
        <v>#DIV/0!</v>
      </c>
      <c r="M46" s="34"/>
      <c r="N46" s="34"/>
      <c r="O46" s="34"/>
      <c r="P46" s="34"/>
      <c r="Q46" s="34"/>
      <c r="R46" s="34"/>
      <c r="S46" s="34"/>
      <c r="T46" s="34"/>
      <c r="U46" s="34"/>
    </row>
    <row r="47">
      <c r="A47" s="23" t="s">
        <v>74</v>
      </c>
      <c r="B47" s="8">
        <f t="shared" ref="B47:L47" si="23">(B$46-B$3)/ABS(B$3)</f>
        <v>-0.1214748142</v>
      </c>
      <c r="C47" s="8">
        <f t="shared" si="23"/>
        <v>0.8567209761</v>
      </c>
      <c r="D47" s="8">
        <f t="shared" si="23"/>
        <v>3.455430075</v>
      </c>
      <c r="E47" s="8" t="str">
        <f t="shared" si="23"/>
        <v>#DIV/0!</v>
      </c>
      <c r="F47" s="8" t="str">
        <f t="shared" si="23"/>
        <v>#DIV/0!</v>
      </c>
      <c r="G47" s="8" t="str">
        <f t="shared" si="23"/>
        <v>#DIV/0!</v>
      </c>
      <c r="H47" s="8" t="str">
        <f t="shared" si="23"/>
        <v>#DIV/0!</v>
      </c>
      <c r="I47" s="8" t="str">
        <f t="shared" si="23"/>
        <v>#DIV/0!</v>
      </c>
      <c r="J47" s="8" t="str">
        <f t="shared" si="23"/>
        <v>#DIV/0!</v>
      </c>
      <c r="K47" s="8" t="str">
        <f t="shared" si="23"/>
        <v>#DIV/0!</v>
      </c>
      <c r="L47" s="8" t="str">
        <f t="shared" si="23"/>
        <v>#DIV/0!</v>
      </c>
      <c r="M47" s="8"/>
      <c r="N47" s="8"/>
      <c r="O47" s="8"/>
      <c r="P47" s="8"/>
      <c r="Q47" s="8"/>
      <c r="R47" s="8"/>
      <c r="S47" s="8"/>
      <c r="T47" s="8"/>
      <c r="U47" s="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0.13"/>
    <col customWidth="1" min="2" max="12" width="19.5"/>
    <col customWidth="1" min="13" max="21" width="2.0"/>
  </cols>
  <sheetData>
    <row r="1">
      <c r="A1" s="3" t="s">
        <v>15</v>
      </c>
      <c r="B1" s="4" t="s">
        <v>75</v>
      </c>
      <c r="C1" s="7">
        <f t="array" ref="C1">IF(C$7="Local Currency",1,_xlfn.XLOOKUP(C$2,OFFSET(Dashboard!$A:$A,0,MATCH(C$7,Dashboard!$1:$1,0)-1),OFFSET(Dashboard!$A:$A,0,MATCH(C$7,Dashboard!$1:$1,0))))</f>
        <v>1</v>
      </c>
      <c r="D1" s="7">
        <f t="array" ref="D1">IF(D$7="Local Currency",1,_xlfn.XLOOKUP(D$2,OFFSET(Dashboard!$A:$A,0,MATCH(D$7,Dashboard!$1:$1,0)-1),OFFSET(Dashboard!$A:$A,0,MATCH(D$7,Dashboard!$1:$1,0))))</f>
        <v>1</v>
      </c>
      <c r="E1" s="7">
        <f t="array" ref="E1">IF(E$7="Local Currency",1,_xlfn.XLOOKUP(E$2,OFFSET(Dashboard!$A:$A,0,MATCH(E$7,Dashboard!$1:$1,0)-1),OFFSET(Dashboard!$A:$A,0,MATCH(E$7,Dashboard!$1:$1,0))))</f>
        <v>1</v>
      </c>
      <c r="F1" s="7">
        <f t="array" ref="F1">IF(F$7="Local Currency",1,_xlfn.XLOOKUP(F$2,OFFSET(Dashboard!$A:$A,0,MATCH(F$7,Dashboard!$1:$1,0)-1),OFFSET(Dashboard!$A:$A,0,MATCH(F$7,Dashboard!$1:$1,0))))</f>
        <v>1</v>
      </c>
      <c r="G1" s="7">
        <f t="array" ref="G1">IF(G$7="Local Currency",1,_xlfn.XLOOKUP(G$2,OFFSET(Dashboard!$A:$A,0,MATCH(G$7,Dashboard!$1:$1,0)-1),OFFSET(Dashboard!$A:$A,0,MATCH(G$7,Dashboard!$1:$1,0))))</f>
        <v>1</v>
      </c>
      <c r="H1" s="7">
        <f t="array" ref="H1">IF(H$7="Local Currency",1,_xlfn.XLOOKUP(H$2,OFFSET(Dashboard!$A:$A,0,MATCH(H$7,Dashboard!$1:$1,0)-1),OFFSET(Dashboard!$A:$A,0,MATCH(H$7,Dashboard!$1:$1,0))))</f>
        <v>1</v>
      </c>
      <c r="I1" s="7">
        <f t="array" ref="I1">IF(I$7="Local Currency",1,_xlfn.XLOOKUP(I$2,OFFSET(Dashboard!$A:$A,0,MATCH(I$7,Dashboard!$1:$1,0)-1),OFFSET(Dashboard!$A:$A,0,MATCH(I$7,Dashboard!$1:$1,0))))</f>
        <v>1</v>
      </c>
      <c r="J1" s="7">
        <f t="array" ref="J1">IF(J$7="Local Currency",1,_xlfn.XLOOKUP(J$2,OFFSET(Dashboard!$A:$A,0,MATCH(J$7,Dashboard!$1:$1,0)-1),OFFSET(Dashboard!$A:$A,0,MATCH(J$7,Dashboard!$1:$1,0))))</f>
        <v>1</v>
      </c>
      <c r="K1" s="7">
        <f t="array" ref="K1">IF(K$7="Local Currency",1,_xlfn.XLOOKUP(K$2,OFFSET(Dashboard!$A:$A,0,MATCH(K$7,Dashboard!$1:$1,0)-1),OFFSET(Dashboard!$A:$A,0,MATCH(K$7,Dashboard!$1:$1,0))))</f>
        <v>1</v>
      </c>
      <c r="L1" s="7">
        <f t="array" ref="L1">IF(L$7="Local Currency",1,_xlfn.XLOOKUP(L$2,OFFSET(Dashboard!$A:$A,0,MATCH(L$7,Dashboard!$1:$1,0)-1),OFFSET(Dashboard!$A:$A,0,MATCH(L$7,Dashboard!$1:$1,0))))</f>
        <v>1</v>
      </c>
      <c r="M1" s="24"/>
      <c r="N1" s="24"/>
      <c r="O1" s="24"/>
      <c r="P1" s="24"/>
      <c r="Q1" s="24"/>
      <c r="R1" s="24"/>
      <c r="S1" s="24"/>
      <c r="T1" s="24"/>
      <c r="U1" s="24"/>
    </row>
    <row r="2">
      <c r="A2" s="10" t="s">
        <v>18</v>
      </c>
      <c r="B2" s="11" t="s">
        <v>19</v>
      </c>
      <c r="C2" s="12" t="s">
        <v>20</v>
      </c>
      <c r="D2" s="11" t="s">
        <v>22</v>
      </c>
      <c r="E2" s="12" t="s">
        <v>24</v>
      </c>
      <c r="F2" s="11" t="s">
        <v>26</v>
      </c>
      <c r="G2" s="12" t="s">
        <v>28</v>
      </c>
      <c r="H2" s="12" t="s">
        <v>30</v>
      </c>
      <c r="I2" s="12" t="s">
        <v>32</v>
      </c>
      <c r="J2" s="12" t="s">
        <v>34</v>
      </c>
      <c r="K2" s="12" t="s">
        <v>36</v>
      </c>
      <c r="L2" s="12" t="s">
        <v>38</v>
      </c>
      <c r="M2" s="35"/>
      <c r="N2" s="35"/>
      <c r="O2" s="35"/>
      <c r="P2" s="35"/>
      <c r="Q2" s="35"/>
      <c r="R2" s="35"/>
      <c r="S2" s="35"/>
      <c r="T2" s="35"/>
      <c r="U2" s="35"/>
    </row>
    <row r="3">
      <c r="A3" s="4" t="s">
        <v>40</v>
      </c>
      <c r="B3" s="13">
        <v>32600.0</v>
      </c>
      <c r="C3" s="13">
        <v>15425.0</v>
      </c>
      <c r="D3" s="13">
        <v>10825.0</v>
      </c>
      <c r="E3" s="13">
        <v>9100.0</v>
      </c>
      <c r="F3" s="13">
        <v>10575.0</v>
      </c>
      <c r="G3" s="13">
        <v>9675.0</v>
      </c>
      <c r="H3" s="13">
        <v>8475.0</v>
      </c>
      <c r="I3" s="13">
        <v>7175.0</v>
      </c>
      <c r="J3" s="13">
        <v>6675.0</v>
      </c>
      <c r="K3" s="13">
        <v>3290.0</v>
      </c>
      <c r="L3" s="13">
        <v>1950.0</v>
      </c>
      <c r="M3" s="13"/>
      <c r="N3" s="13"/>
      <c r="O3" s="13"/>
      <c r="P3" s="13"/>
      <c r="Q3" s="13"/>
      <c r="R3" s="13"/>
      <c r="S3" s="13"/>
      <c r="T3" s="13"/>
      <c r="U3" s="13"/>
    </row>
    <row r="4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>
      <c r="A5" s="14" t="s">
        <v>41</v>
      </c>
      <c r="B5" s="16">
        <f>B$3*OFFSET(B$5,0,1)/OFFSET(B$3,0,1)</f>
        <v>19230635680000</v>
      </c>
      <c r="C5" s="16">
        <f t="shared" ref="C5:L5" si="1">C$21*C$3</f>
        <v>9099158140000</v>
      </c>
      <c r="D5" s="16">
        <f t="shared" si="1"/>
        <v>6385632860000</v>
      </c>
      <c r="E5" s="16">
        <f t="shared" si="1"/>
        <v>5368060880000</v>
      </c>
      <c r="F5" s="16">
        <f t="shared" si="1"/>
        <v>6238158660000</v>
      </c>
      <c r="G5" s="16">
        <f t="shared" si="1"/>
        <v>5707251540000</v>
      </c>
      <c r="H5" s="16">
        <f t="shared" si="1"/>
        <v>4999375380000</v>
      </c>
      <c r="I5" s="16">
        <f t="shared" si="1"/>
        <v>4232509540000</v>
      </c>
      <c r="J5" s="16">
        <f t="shared" si="1"/>
        <v>3937561140000</v>
      </c>
      <c r="K5" s="16">
        <f t="shared" si="1"/>
        <v>1940760472000</v>
      </c>
      <c r="L5" s="16">
        <f t="shared" si="1"/>
        <v>1150298760000</v>
      </c>
      <c r="M5" s="16"/>
      <c r="N5" s="16"/>
      <c r="O5" s="16"/>
      <c r="P5" s="16"/>
      <c r="Q5" s="16"/>
      <c r="R5" s="16"/>
      <c r="S5" s="16"/>
      <c r="T5" s="16"/>
      <c r="U5" s="16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>
      <c r="A7" s="4" t="s">
        <v>42</v>
      </c>
      <c r="B7" s="19" t="str">
        <f t="array" ref="B7">IF(COUNTIF($C7:$ZZG7,INDEX($C7:$ZZG7,MATCH(TRUE,$C7:$ZZG7&lt;&gt;"",0)))=COUNTIF($C7:$ZZG7,"&lt;&gt;"),"All "&amp;INDEX($C7:$ZZG7,MATCH(TRUE,$C7:$ZZG7&lt;&gt;"",0)),INDEX($C7:$ZZG7,MATCH(MAX(INDEX(COUNTIF($C7:$ZZG7,$C7:$ZZG7),0)),INDEX(COUNTIF($C7:$ZZG7,$C7:$ZZG7),0),0))&amp;" Dominant")</f>
        <v>All Local Currency</v>
      </c>
      <c r="C7" s="19" t="s">
        <v>43</v>
      </c>
      <c r="D7" s="19" t="s">
        <v>43</v>
      </c>
      <c r="E7" s="19" t="s">
        <v>43</v>
      </c>
      <c r="F7" s="19" t="s">
        <v>43</v>
      </c>
      <c r="G7" s="19" t="s">
        <v>43</v>
      </c>
      <c r="H7" s="19" t="s">
        <v>43</v>
      </c>
      <c r="I7" s="19" t="s">
        <v>43</v>
      </c>
      <c r="J7" s="19" t="s">
        <v>43</v>
      </c>
      <c r="K7" s="19" t="s">
        <v>43</v>
      </c>
      <c r="L7" s="19" t="s">
        <v>43</v>
      </c>
      <c r="M7" s="19"/>
      <c r="N7" s="19"/>
      <c r="O7" s="19"/>
      <c r="P7" s="19"/>
      <c r="Q7" s="19"/>
      <c r="R7" s="19"/>
      <c r="S7" s="19"/>
      <c r="T7" s="19"/>
      <c r="U7" s="19"/>
    </row>
    <row r="8">
      <c r="A8" s="17"/>
      <c r="B8" s="20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>
      <c r="A9" s="21" t="s">
        <v>44</v>
      </c>
      <c r="B9" s="11" t="str">
        <f t="shared" ref="B9:L9" si="2">B$2</f>
        <v>Current</v>
      </c>
      <c r="C9" s="11" t="str">
        <f t="shared" si="2"/>
        <v>FY2025</v>
      </c>
      <c r="D9" s="11" t="str">
        <f t="shared" si="2"/>
        <v>1H2025</v>
      </c>
      <c r="E9" s="11" t="str">
        <f t="shared" si="2"/>
        <v>FY2024</v>
      </c>
      <c r="F9" s="11" t="str">
        <f t="shared" si="2"/>
        <v>1H2024</v>
      </c>
      <c r="G9" s="11" t="str">
        <f t="shared" si="2"/>
        <v>FY2023</v>
      </c>
      <c r="H9" s="11" t="str">
        <f t="shared" si="2"/>
        <v>1H2023</v>
      </c>
      <c r="I9" s="11" t="str">
        <f t="shared" si="2"/>
        <v>FY2022</v>
      </c>
      <c r="J9" s="11" t="str">
        <f t="shared" si="2"/>
        <v>1H2022</v>
      </c>
      <c r="K9" s="11" t="str">
        <f t="shared" si="2"/>
        <v>FY2021</v>
      </c>
      <c r="L9" s="11" t="str">
        <f t="shared" si="2"/>
        <v>1H2021</v>
      </c>
      <c r="M9" s="36"/>
      <c r="N9" s="36"/>
      <c r="O9" s="36"/>
      <c r="P9" s="36"/>
      <c r="Q9" s="36"/>
      <c r="R9" s="36"/>
      <c r="S9" s="36"/>
      <c r="T9" s="36"/>
      <c r="U9" s="36"/>
    </row>
    <row r="10">
      <c r="A10" s="4" t="s">
        <v>48</v>
      </c>
      <c r="B10" s="17"/>
      <c r="C10" s="16">
        <v>1.540643E12</v>
      </c>
      <c r="D10" s="16">
        <v>1.186331E12</v>
      </c>
      <c r="E10" s="16">
        <v>1.089035E12</v>
      </c>
      <c r="F10" s="16">
        <v>8.67396E11</v>
      </c>
      <c r="G10" s="16">
        <v>7.94021E11</v>
      </c>
      <c r="H10" s="16">
        <v>7.31424E11</v>
      </c>
      <c r="I10" s="16">
        <v>6.87714E11</v>
      </c>
      <c r="J10" s="16">
        <v>6.03278E11</v>
      </c>
      <c r="K10" s="16">
        <v>5.60041E11</v>
      </c>
      <c r="L10" s="16">
        <v>3.75034E11</v>
      </c>
      <c r="M10" s="16"/>
      <c r="N10" s="16"/>
      <c r="O10" s="16"/>
      <c r="P10" s="16"/>
      <c r="Q10" s="16"/>
      <c r="R10" s="16"/>
      <c r="S10" s="16"/>
      <c r="T10" s="16"/>
      <c r="U10" s="16"/>
    </row>
    <row r="11">
      <c r="A11" s="4" t="s">
        <v>49</v>
      </c>
      <c r="B11" s="17"/>
      <c r="C11" s="16">
        <v>4.25101E11</v>
      </c>
      <c r="D11" s="16">
        <v>3.16479E11</v>
      </c>
      <c r="E11" s="16">
        <v>2.93335E11</v>
      </c>
      <c r="F11" s="16">
        <v>2.34033E11</v>
      </c>
      <c r="G11" s="16">
        <v>2.10423E11</v>
      </c>
      <c r="H11" s="16">
        <v>1.85375E11</v>
      </c>
      <c r="I11" s="16">
        <v>2.08035E11</v>
      </c>
      <c r="J11" s="16">
        <v>1.56937E11</v>
      </c>
      <c r="K11" s="16">
        <v>1.75867E11</v>
      </c>
      <c r="L11" s="16">
        <v>8.9891E10</v>
      </c>
      <c r="M11" s="16"/>
      <c r="N11" s="16"/>
      <c r="O11" s="16"/>
      <c r="P11" s="16"/>
      <c r="Q11" s="16"/>
      <c r="R11" s="16"/>
      <c r="S11" s="16"/>
      <c r="T11" s="16"/>
      <c r="U11" s="16"/>
    </row>
    <row r="12">
      <c r="A12" s="23"/>
      <c r="B12" s="17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</row>
    <row r="13">
      <c r="A13" s="23" t="s">
        <v>50</v>
      </c>
      <c r="B13" s="14"/>
      <c r="C13" s="24">
        <f t="shared" ref="C13:L13" si="3">C$10/2</f>
        <v>770321500000</v>
      </c>
      <c r="D13" s="24">
        <f t="shared" si="3"/>
        <v>593165500000</v>
      </c>
      <c r="E13" s="24">
        <f t="shared" si="3"/>
        <v>544517500000</v>
      </c>
      <c r="F13" s="24">
        <f t="shared" si="3"/>
        <v>433698000000</v>
      </c>
      <c r="G13" s="24">
        <f t="shared" si="3"/>
        <v>397010500000</v>
      </c>
      <c r="H13" s="24">
        <f t="shared" si="3"/>
        <v>365712000000</v>
      </c>
      <c r="I13" s="24">
        <f t="shared" si="3"/>
        <v>343857000000</v>
      </c>
      <c r="J13" s="24">
        <f t="shared" si="3"/>
        <v>301639000000</v>
      </c>
      <c r="K13" s="24">
        <f t="shared" si="3"/>
        <v>280020500000</v>
      </c>
      <c r="L13" s="24">
        <f t="shared" si="3"/>
        <v>187517000000</v>
      </c>
      <c r="M13" s="24"/>
      <c r="N13" s="24"/>
      <c r="O13" s="24"/>
      <c r="P13" s="24"/>
      <c r="Q13" s="24"/>
      <c r="R13" s="24"/>
      <c r="S13" s="24"/>
      <c r="T13" s="24"/>
      <c r="U13" s="24"/>
    </row>
    <row r="14">
      <c r="A14" s="23" t="s">
        <v>51</v>
      </c>
      <c r="B14" s="17"/>
      <c r="C14" s="25">
        <f t="shared" ref="C14:L14" si="4">IF(LEFT(C$2,2)="1H",C$10,C$10+(D$13*2))</f>
        <v>2726974000000</v>
      </c>
      <c r="D14" s="25">
        <f t="shared" si="4"/>
        <v>1186331000000</v>
      </c>
      <c r="E14" s="25">
        <f t="shared" si="4"/>
        <v>1956431000000</v>
      </c>
      <c r="F14" s="25">
        <f t="shared" si="4"/>
        <v>867396000000</v>
      </c>
      <c r="G14" s="25">
        <f t="shared" si="4"/>
        <v>1525445000000</v>
      </c>
      <c r="H14" s="25">
        <f t="shared" si="4"/>
        <v>731424000000</v>
      </c>
      <c r="I14" s="25">
        <f t="shared" si="4"/>
        <v>1290992000000</v>
      </c>
      <c r="J14" s="25">
        <f t="shared" si="4"/>
        <v>603278000000</v>
      </c>
      <c r="K14" s="25">
        <f t="shared" si="4"/>
        <v>935075000000</v>
      </c>
      <c r="L14" s="25">
        <f t="shared" si="4"/>
        <v>375034000000</v>
      </c>
      <c r="M14" s="14"/>
      <c r="N14" s="14"/>
      <c r="O14" s="14"/>
      <c r="P14" s="14"/>
      <c r="Q14" s="14"/>
      <c r="R14" s="14"/>
      <c r="S14" s="14"/>
      <c r="T14" s="14"/>
      <c r="U14" s="14"/>
    </row>
    <row r="15">
      <c r="A15" s="23" t="s">
        <v>52</v>
      </c>
      <c r="B15" s="17"/>
      <c r="C15" s="26">
        <f t="shared" ref="C15:L15" si="5">(C$14-E$14)/ABS(E$14)</f>
        <v>0.3938513548</v>
      </c>
      <c r="D15" s="26">
        <f t="shared" si="5"/>
        <v>0.3676924957</v>
      </c>
      <c r="E15" s="26">
        <f t="shared" si="5"/>
        <v>0.2825313269</v>
      </c>
      <c r="F15" s="26">
        <f t="shared" si="5"/>
        <v>0.1859003806</v>
      </c>
      <c r="G15" s="26">
        <f t="shared" si="5"/>
        <v>0.1816068574</v>
      </c>
      <c r="H15" s="26">
        <f t="shared" si="5"/>
        <v>0.2124161663</v>
      </c>
      <c r="I15" s="26">
        <f t="shared" si="5"/>
        <v>0.3806293613</v>
      </c>
      <c r="J15" s="26">
        <f t="shared" si="5"/>
        <v>0.6085954873</v>
      </c>
      <c r="K15" s="26" t="str">
        <f t="shared" si="5"/>
        <v>#DIV/0!</v>
      </c>
      <c r="L15" s="26" t="str">
        <f t="shared" si="5"/>
        <v>#DIV/0!</v>
      </c>
      <c r="M15" s="26"/>
      <c r="N15" s="26"/>
      <c r="O15" s="26"/>
      <c r="P15" s="26"/>
      <c r="Q15" s="26"/>
      <c r="R15" s="26"/>
      <c r="S15" s="26"/>
      <c r="T15" s="26"/>
      <c r="U15" s="26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>
      <c r="A17" s="23" t="s">
        <v>53</v>
      </c>
      <c r="B17" s="14"/>
      <c r="C17" s="24">
        <f t="shared" ref="C17:L17" si="6">C$11/2</f>
        <v>212550500000</v>
      </c>
      <c r="D17" s="24">
        <f t="shared" si="6"/>
        <v>158239500000</v>
      </c>
      <c r="E17" s="24">
        <f t="shared" si="6"/>
        <v>146667500000</v>
      </c>
      <c r="F17" s="24">
        <f t="shared" si="6"/>
        <v>117016500000</v>
      </c>
      <c r="G17" s="24">
        <f t="shared" si="6"/>
        <v>105211500000</v>
      </c>
      <c r="H17" s="24">
        <f t="shared" si="6"/>
        <v>92687500000</v>
      </c>
      <c r="I17" s="24">
        <f t="shared" si="6"/>
        <v>104017500000</v>
      </c>
      <c r="J17" s="24">
        <f t="shared" si="6"/>
        <v>78468500000</v>
      </c>
      <c r="K17" s="24">
        <f t="shared" si="6"/>
        <v>87933500000</v>
      </c>
      <c r="L17" s="24">
        <f t="shared" si="6"/>
        <v>44945500000</v>
      </c>
      <c r="M17" s="24"/>
      <c r="N17" s="24"/>
      <c r="O17" s="24"/>
      <c r="P17" s="24"/>
      <c r="Q17" s="24"/>
      <c r="R17" s="24"/>
      <c r="S17" s="24"/>
      <c r="T17" s="24"/>
      <c r="U17" s="24"/>
    </row>
    <row r="18">
      <c r="A18" s="23" t="s">
        <v>54</v>
      </c>
      <c r="B18" s="14"/>
      <c r="C18" s="25">
        <f t="shared" ref="C18:L18" si="7">IF(LEFT(C$2,2)="1H",C$11,C$11+(D$17*2))</f>
        <v>741580000000</v>
      </c>
      <c r="D18" s="25">
        <f t="shared" si="7"/>
        <v>316479000000</v>
      </c>
      <c r="E18" s="25">
        <f t="shared" si="7"/>
        <v>527368000000</v>
      </c>
      <c r="F18" s="25">
        <f t="shared" si="7"/>
        <v>234033000000</v>
      </c>
      <c r="G18" s="25">
        <f t="shared" si="7"/>
        <v>395798000000</v>
      </c>
      <c r="H18" s="25">
        <f t="shared" si="7"/>
        <v>185375000000</v>
      </c>
      <c r="I18" s="25">
        <f t="shared" si="7"/>
        <v>364972000000</v>
      </c>
      <c r="J18" s="25">
        <f t="shared" si="7"/>
        <v>156937000000</v>
      </c>
      <c r="K18" s="25">
        <f t="shared" si="7"/>
        <v>265758000000</v>
      </c>
      <c r="L18" s="25">
        <f t="shared" si="7"/>
        <v>89891000000</v>
      </c>
      <c r="M18" s="14"/>
      <c r="N18" s="14"/>
      <c r="O18" s="14"/>
      <c r="P18" s="14"/>
      <c r="Q18" s="14"/>
      <c r="R18" s="14"/>
      <c r="S18" s="14"/>
      <c r="T18" s="14"/>
      <c r="U18" s="14"/>
    </row>
    <row r="19">
      <c r="A19" s="23" t="s">
        <v>55</v>
      </c>
      <c r="B19" s="14"/>
      <c r="C19" s="26">
        <f t="shared" ref="C19:L19" si="8">(C$18-E$18)/ABS(E$18)</f>
        <v>0.4061907435</v>
      </c>
      <c r="D19" s="26">
        <f t="shared" si="8"/>
        <v>0.3522836523</v>
      </c>
      <c r="E19" s="26">
        <f t="shared" si="8"/>
        <v>0.332417041</v>
      </c>
      <c r="F19" s="26">
        <f t="shared" si="8"/>
        <v>0.2624841537</v>
      </c>
      <c r="G19" s="26">
        <f t="shared" si="8"/>
        <v>0.08446127374</v>
      </c>
      <c r="H19" s="26">
        <f t="shared" si="8"/>
        <v>0.1812064714</v>
      </c>
      <c r="I19" s="26">
        <f t="shared" si="8"/>
        <v>0.3733246036</v>
      </c>
      <c r="J19" s="26">
        <f t="shared" si="8"/>
        <v>0.7458588735</v>
      </c>
      <c r="K19" s="26" t="str">
        <f t="shared" si="8"/>
        <v>#DIV/0!</v>
      </c>
      <c r="L19" s="26" t="str">
        <f t="shared" si="8"/>
        <v>#DIV/0!</v>
      </c>
      <c r="M19" s="26"/>
      <c r="N19" s="26"/>
      <c r="O19" s="26"/>
      <c r="P19" s="26"/>
      <c r="Q19" s="26"/>
      <c r="R19" s="26"/>
      <c r="S19" s="26"/>
      <c r="T19" s="26"/>
      <c r="U19" s="26"/>
    </row>
    <row r="20">
      <c r="A20" s="23"/>
      <c r="B20" s="17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>
      <c r="A21" s="4" t="s">
        <v>56</v>
      </c>
      <c r="B21" s="14"/>
      <c r="C21" s="24">
        <v>5.898968E8</v>
      </c>
      <c r="D21" s="24">
        <v>5.898968E8</v>
      </c>
      <c r="E21" s="24">
        <v>5.898968E8</v>
      </c>
      <c r="F21" s="24">
        <v>5.898968E8</v>
      </c>
      <c r="G21" s="24">
        <v>5.898968E8</v>
      </c>
      <c r="H21" s="24">
        <v>5.898968E8</v>
      </c>
      <c r="I21" s="24">
        <v>5.898968E8</v>
      </c>
      <c r="J21" s="24">
        <v>5.898968E8</v>
      </c>
      <c r="K21" s="24">
        <v>5.898968E8</v>
      </c>
      <c r="L21" s="24">
        <v>5.898968E8</v>
      </c>
      <c r="M21" s="24"/>
      <c r="N21" s="24"/>
      <c r="O21" s="24"/>
      <c r="P21" s="24"/>
      <c r="Q21" s="24"/>
      <c r="R21" s="24"/>
      <c r="S21" s="24"/>
      <c r="T21" s="24"/>
      <c r="U21" s="24"/>
    </row>
    <row r="22">
      <c r="A22" s="14"/>
      <c r="B22" s="14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</row>
    <row r="23">
      <c r="A23" s="21" t="s">
        <v>57</v>
      </c>
      <c r="B23" s="11" t="str">
        <f t="shared" ref="B23:L23" si="9">B$2</f>
        <v>Current</v>
      </c>
      <c r="C23" s="11" t="str">
        <f t="shared" si="9"/>
        <v>FY2025</v>
      </c>
      <c r="D23" s="11" t="str">
        <f t="shared" si="9"/>
        <v>1H2025</v>
      </c>
      <c r="E23" s="11" t="str">
        <f t="shared" si="9"/>
        <v>FY2024</v>
      </c>
      <c r="F23" s="11" t="str">
        <f t="shared" si="9"/>
        <v>1H2024</v>
      </c>
      <c r="G23" s="11" t="str">
        <f t="shared" si="9"/>
        <v>FY2023</v>
      </c>
      <c r="H23" s="11" t="str">
        <f t="shared" si="9"/>
        <v>1H2023</v>
      </c>
      <c r="I23" s="11" t="str">
        <f t="shared" si="9"/>
        <v>FY2022</v>
      </c>
      <c r="J23" s="11" t="str">
        <f t="shared" si="9"/>
        <v>1H2022</v>
      </c>
      <c r="K23" s="11" t="str">
        <f t="shared" si="9"/>
        <v>FY2021</v>
      </c>
      <c r="L23" s="11" t="str">
        <f t="shared" si="9"/>
        <v>1H2021</v>
      </c>
      <c r="M23" s="36"/>
      <c r="N23" s="36"/>
      <c r="O23" s="36"/>
      <c r="P23" s="36"/>
      <c r="Q23" s="36"/>
      <c r="R23" s="36"/>
      <c r="S23" s="36"/>
      <c r="T23" s="36"/>
      <c r="U23" s="36"/>
    </row>
    <row r="24">
      <c r="A24" s="4" t="s">
        <v>58</v>
      </c>
      <c r="B24" s="14"/>
      <c r="C24" s="24">
        <v>3.000703E12</v>
      </c>
      <c r="D24" s="24">
        <v>2.57498E12</v>
      </c>
      <c r="E24" s="24">
        <v>2.258501E12</v>
      </c>
      <c r="F24" s="24">
        <v>1.963841E12</v>
      </c>
      <c r="G24" s="24">
        <v>1.729808E12</v>
      </c>
      <c r="H24" s="24">
        <v>1.520211E12</v>
      </c>
      <c r="I24" s="24">
        <v>1.334836E12</v>
      </c>
      <c r="J24" s="24">
        <v>1.126754E12</v>
      </c>
      <c r="K24" s="24">
        <v>9.69817E11</v>
      </c>
      <c r="L24" s="24">
        <v>7.90399E11</v>
      </c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14"/>
      <c r="B25" s="14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</row>
    <row r="26">
      <c r="A26" s="28" t="s">
        <v>59</v>
      </c>
      <c r="B26" s="29" t="str">
        <f t="shared" ref="B26:L26" si="10">B$2</f>
        <v>Current</v>
      </c>
      <c r="C26" s="11" t="str">
        <f t="shared" si="10"/>
        <v>FY2025</v>
      </c>
      <c r="D26" s="11" t="str">
        <f t="shared" si="10"/>
        <v>1H2025</v>
      </c>
      <c r="E26" s="11" t="str">
        <f t="shared" si="10"/>
        <v>FY2024</v>
      </c>
      <c r="F26" s="11" t="str">
        <f t="shared" si="10"/>
        <v>1H2024</v>
      </c>
      <c r="G26" s="11" t="str">
        <f t="shared" si="10"/>
        <v>FY2023</v>
      </c>
      <c r="H26" s="11" t="str">
        <f t="shared" si="10"/>
        <v>1H2023</v>
      </c>
      <c r="I26" s="11" t="str">
        <f t="shared" si="10"/>
        <v>FY2022</v>
      </c>
      <c r="J26" s="11" t="str">
        <f t="shared" si="10"/>
        <v>1H2022</v>
      </c>
      <c r="K26" s="11" t="str">
        <f t="shared" si="10"/>
        <v>FY2021</v>
      </c>
      <c r="L26" s="11" t="str">
        <f t="shared" si="10"/>
        <v>1H2021</v>
      </c>
      <c r="M26" s="36"/>
      <c r="N26" s="36"/>
      <c r="O26" s="36"/>
      <c r="P26" s="36"/>
      <c r="Q26" s="36"/>
      <c r="R26" s="36"/>
      <c r="S26" s="36"/>
      <c r="T26" s="36"/>
      <c r="U26" s="36"/>
    </row>
    <row r="27">
      <c r="A27" s="30" t="s">
        <v>60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>
      <c r="A28" s="23" t="s">
        <v>61</v>
      </c>
      <c r="B28" s="14"/>
      <c r="C28" s="6">
        <f t="shared" ref="C28:L28" si="11">C$17*C$1/C$21</f>
        <v>360.3181099</v>
      </c>
      <c r="D28" s="6">
        <f t="shared" si="11"/>
        <v>268.2494633</v>
      </c>
      <c r="E28" s="6">
        <f t="shared" si="11"/>
        <v>248.6324727</v>
      </c>
      <c r="F28" s="6">
        <f t="shared" si="11"/>
        <v>198.3677484</v>
      </c>
      <c r="G28" s="6">
        <f t="shared" si="11"/>
        <v>178.3557734</v>
      </c>
      <c r="H28" s="6">
        <f t="shared" si="11"/>
        <v>157.1249412</v>
      </c>
      <c r="I28" s="6">
        <f t="shared" si="11"/>
        <v>176.3316906</v>
      </c>
      <c r="J28" s="6">
        <f t="shared" si="11"/>
        <v>133.020725</v>
      </c>
      <c r="K28" s="6">
        <f t="shared" si="11"/>
        <v>149.0659044</v>
      </c>
      <c r="L28" s="6">
        <f t="shared" si="11"/>
        <v>76.19214073</v>
      </c>
      <c r="M28" s="6"/>
      <c r="N28" s="6"/>
      <c r="O28" s="6"/>
      <c r="P28" s="6"/>
      <c r="Q28" s="6"/>
      <c r="R28" s="6"/>
      <c r="S28" s="6"/>
      <c r="T28" s="6"/>
      <c r="U28" s="6"/>
    </row>
    <row r="29">
      <c r="A29" s="23" t="s">
        <v>62</v>
      </c>
      <c r="B29" s="14"/>
      <c r="C29" s="6">
        <f t="shared" ref="C29:L29" si="12">IF(LEFT(C$2,2)="1H",C$28*2,SUM(C$28:D$28)*2)</f>
        <v>1257.135146</v>
      </c>
      <c r="D29" s="6">
        <f t="shared" si="12"/>
        <v>536.4989266</v>
      </c>
      <c r="E29" s="6">
        <f t="shared" si="12"/>
        <v>894.0004421</v>
      </c>
      <c r="F29" s="6">
        <f t="shared" si="12"/>
        <v>396.7354968</v>
      </c>
      <c r="G29" s="6">
        <f t="shared" si="12"/>
        <v>670.9614292</v>
      </c>
      <c r="H29" s="6">
        <f t="shared" si="12"/>
        <v>314.2498824</v>
      </c>
      <c r="I29" s="6">
        <f t="shared" si="12"/>
        <v>618.7048311</v>
      </c>
      <c r="J29" s="6">
        <f t="shared" si="12"/>
        <v>266.04145</v>
      </c>
      <c r="K29" s="6">
        <f t="shared" si="12"/>
        <v>450.5160903</v>
      </c>
      <c r="L29" s="6">
        <f t="shared" si="12"/>
        <v>152.3842815</v>
      </c>
      <c r="M29" s="6"/>
      <c r="N29" s="6"/>
      <c r="O29" s="6"/>
      <c r="P29" s="6"/>
      <c r="Q29" s="6"/>
      <c r="R29" s="6"/>
      <c r="S29" s="6"/>
      <c r="T29" s="6"/>
      <c r="U29" s="6"/>
    </row>
    <row r="30">
      <c r="A30" s="14" t="s">
        <v>63</v>
      </c>
      <c r="B30" s="14"/>
      <c r="C30" s="6">
        <f t="shared" ref="C30:L30" si="13">C$24*C$1/C$21</f>
        <v>5086.827052</v>
      </c>
      <c r="D30" s="6">
        <f t="shared" si="13"/>
        <v>4365.13641</v>
      </c>
      <c r="E30" s="6">
        <f t="shared" si="13"/>
        <v>3828.637484</v>
      </c>
      <c r="F30" s="6">
        <f t="shared" si="13"/>
        <v>3329.126383</v>
      </c>
      <c r="G30" s="6">
        <f t="shared" si="13"/>
        <v>2932.390886</v>
      </c>
      <c r="H30" s="6">
        <f t="shared" si="13"/>
        <v>2577.079584</v>
      </c>
      <c r="I30" s="6">
        <f t="shared" si="13"/>
        <v>2262.829702</v>
      </c>
      <c r="J30" s="6">
        <f t="shared" si="13"/>
        <v>1910.086646</v>
      </c>
      <c r="K30" s="6">
        <f t="shared" si="13"/>
        <v>1644.045196</v>
      </c>
      <c r="L30" s="6">
        <f t="shared" si="13"/>
        <v>1339.89369</v>
      </c>
      <c r="M30" s="6"/>
      <c r="N30" s="6"/>
      <c r="O30" s="6"/>
      <c r="P30" s="6"/>
      <c r="Q30" s="6"/>
      <c r="R30" s="6"/>
      <c r="S30" s="6"/>
      <c r="T30" s="6"/>
      <c r="U30" s="6"/>
    </row>
    <row r="31">
      <c r="A31" s="14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  <row r="32">
      <c r="A32" s="30" t="s">
        <v>64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</row>
    <row r="33">
      <c r="A33" s="14" t="s">
        <v>65</v>
      </c>
      <c r="B33" s="6">
        <f>$B$3/(SUM(OFFSET($B$28,0,1,1,2))*2)</f>
        <v>25.93197724</v>
      </c>
      <c r="C33" s="6">
        <f t="shared" ref="C33:L33" si="14">C$3/(SUM(C$28:D$28)*2)</f>
        <v>12.26996162</v>
      </c>
      <c r="D33" s="6">
        <f t="shared" si="14"/>
        <v>10.47144352</v>
      </c>
      <c r="E33" s="6">
        <f t="shared" si="14"/>
        <v>10.17896588</v>
      </c>
      <c r="F33" s="6">
        <f t="shared" si="14"/>
        <v>14.03549206</v>
      </c>
      <c r="G33" s="6">
        <f t="shared" si="14"/>
        <v>14.41960682</v>
      </c>
      <c r="H33" s="6">
        <f t="shared" si="14"/>
        <v>12.70779945</v>
      </c>
      <c r="I33" s="6">
        <f t="shared" si="14"/>
        <v>11.59680617</v>
      </c>
      <c r="J33" s="6">
        <f t="shared" si="14"/>
        <v>11.8314718</v>
      </c>
      <c r="K33" s="6">
        <f t="shared" si="14"/>
        <v>7.302735842</v>
      </c>
      <c r="L33" s="6">
        <f t="shared" si="14"/>
        <v>12.79659543</v>
      </c>
      <c r="M33" s="6"/>
      <c r="N33" s="6"/>
      <c r="O33" s="6"/>
      <c r="P33" s="6"/>
      <c r="Q33" s="6"/>
      <c r="R33" s="6"/>
      <c r="S33" s="6"/>
      <c r="T33" s="6"/>
      <c r="U33" s="6"/>
    </row>
    <row r="34">
      <c r="A34" s="23" t="s">
        <v>66</v>
      </c>
      <c r="B34" s="6">
        <f>$B$3/OFFSET($B$30,0,1)</f>
        <v>6.408710119</v>
      </c>
      <c r="C34" s="6">
        <f t="shared" ref="C34:L34" si="15">C$3/C$30</f>
        <v>3.032342134</v>
      </c>
      <c r="D34" s="6">
        <f t="shared" si="15"/>
        <v>2.479876683</v>
      </c>
      <c r="E34" s="6">
        <f t="shared" si="15"/>
        <v>2.376824664</v>
      </c>
      <c r="F34" s="6">
        <f t="shared" si="15"/>
        <v>3.176509025</v>
      </c>
      <c r="G34" s="6">
        <f t="shared" si="15"/>
        <v>3.299355501</v>
      </c>
      <c r="H34" s="6">
        <f t="shared" si="15"/>
        <v>3.28860624</v>
      </c>
      <c r="I34" s="6">
        <f t="shared" si="15"/>
        <v>3.170808654</v>
      </c>
      <c r="J34" s="6">
        <f t="shared" si="15"/>
        <v>3.494605868</v>
      </c>
      <c r="K34" s="6">
        <f t="shared" si="15"/>
        <v>2.00116153</v>
      </c>
      <c r="L34" s="6">
        <f t="shared" si="15"/>
        <v>1.455339341</v>
      </c>
      <c r="M34" s="6"/>
      <c r="N34" s="6"/>
      <c r="O34" s="6"/>
      <c r="P34" s="6"/>
      <c r="Q34" s="6"/>
      <c r="R34" s="6"/>
      <c r="S34" s="6"/>
      <c r="T34" s="6"/>
      <c r="U34" s="6"/>
    </row>
    <row r="35">
      <c r="A35" s="23" t="s">
        <v>67</v>
      </c>
      <c r="B35" s="6">
        <f>B$33/OFFSET($B41,0,1)/100</f>
        <v>1.138271294</v>
      </c>
      <c r="C35" s="6">
        <f t="shared" ref="C35:L35" si="16">C$33/C$41/100</f>
        <v>0.5385838868</v>
      </c>
      <c r="D35" s="6">
        <f t="shared" si="16"/>
        <v>0.2244452237</v>
      </c>
      <c r="E35" s="6" t="str">
        <f t="shared" si="16"/>
        <v>#DIV/0!</v>
      </c>
      <c r="F35" s="6" t="str">
        <f t="shared" si="16"/>
        <v>#DIV/0!</v>
      </c>
      <c r="G35" s="6" t="str">
        <f t="shared" si="16"/>
        <v>#DIV/0!</v>
      </c>
      <c r="H35" s="6" t="str">
        <f t="shared" si="16"/>
        <v>#DIV/0!</v>
      </c>
      <c r="I35" s="6" t="str">
        <f t="shared" si="16"/>
        <v>#DIV/0!</v>
      </c>
      <c r="J35" s="6" t="str">
        <f t="shared" si="16"/>
        <v>#DIV/0!</v>
      </c>
      <c r="K35" s="6" t="str">
        <f t="shared" si="16"/>
        <v>#DIV/0!</v>
      </c>
      <c r="L35" s="6" t="str">
        <f t="shared" si="16"/>
        <v>#DIV/0!</v>
      </c>
      <c r="M35" s="6"/>
      <c r="N35" s="6"/>
      <c r="O35" s="6"/>
      <c r="P35" s="6"/>
      <c r="Q35" s="6"/>
      <c r="R35" s="6"/>
      <c r="S35" s="6"/>
      <c r="T35" s="6"/>
      <c r="U35" s="6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>
      <c r="A37" s="30" t="s">
        <v>68</v>
      </c>
      <c r="B37" s="31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>
      <c r="A38" s="14" t="s">
        <v>69</v>
      </c>
      <c r="B38" s="31"/>
      <c r="C38" s="32">
        <f t="shared" ref="C38:L38" si="17">C$18/ABS(C$14)</f>
        <v>0.2719424534</v>
      </c>
      <c r="D38" s="32">
        <f t="shared" si="17"/>
        <v>0.2667712468</v>
      </c>
      <c r="E38" s="32">
        <f t="shared" si="17"/>
        <v>0.2695561459</v>
      </c>
      <c r="F38" s="32">
        <f t="shared" si="17"/>
        <v>0.2698110206</v>
      </c>
      <c r="G38" s="32">
        <f t="shared" si="17"/>
        <v>0.2594639597</v>
      </c>
      <c r="H38" s="32">
        <f t="shared" si="17"/>
        <v>0.2534439668</v>
      </c>
      <c r="I38" s="32">
        <f t="shared" si="17"/>
        <v>0.2827066318</v>
      </c>
      <c r="J38" s="32">
        <f t="shared" si="17"/>
        <v>0.2601404328</v>
      </c>
      <c r="K38" s="32">
        <f t="shared" si="17"/>
        <v>0.2842103575</v>
      </c>
      <c r="L38" s="32">
        <f t="shared" si="17"/>
        <v>0.2396876017</v>
      </c>
      <c r="M38" s="32"/>
      <c r="N38" s="32"/>
      <c r="O38" s="32"/>
      <c r="P38" s="32"/>
      <c r="Q38" s="32"/>
      <c r="R38" s="32"/>
      <c r="S38" s="32"/>
      <c r="T38" s="32"/>
      <c r="U38" s="32"/>
    </row>
    <row r="39">
      <c r="A39" s="14"/>
      <c r="B39" s="31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</row>
    <row r="40">
      <c r="A40" s="21" t="s">
        <v>70</v>
      </c>
      <c r="B40" s="29" t="str">
        <f t="shared" ref="B40:L40" si="18">B$2</f>
        <v>Current</v>
      </c>
      <c r="C40" s="11" t="str">
        <f t="shared" si="18"/>
        <v>FY2025</v>
      </c>
      <c r="D40" s="11" t="str">
        <f t="shared" si="18"/>
        <v>1H2025</v>
      </c>
      <c r="E40" s="11" t="str">
        <f t="shared" si="18"/>
        <v>FY2024</v>
      </c>
      <c r="F40" s="11" t="str">
        <f t="shared" si="18"/>
        <v>1H2024</v>
      </c>
      <c r="G40" s="11" t="str">
        <f t="shared" si="18"/>
        <v>FY2023</v>
      </c>
      <c r="H40" s="11" t="str">
        <f t="shared" si="18"/>
        <v>1H2023</v>
      </c>
      <c r="I40" s="11" t="str">
        <f t="shared" si="18"/>
        <v>FY2022</v>
      </c>
      <c r="J40" s="11" t="str">
        <f t="shared" si="18"/>
        <v>1H2022</v>
      </c>
      <c r="K40" s="11" t="str">
        <f t="shared" si="18"/>
        <v>FY2021</v>
      </c>
      <c r="L40" s="11" t="str">
        <f t="shared" si="18"/>
        <v>1H2021</v>
      </c>
      <c r="M40" s="36"/>
      <c r="N40" s="36"/>
      <c r="O40" s="36"/>
      <c r="P40" s="36"/>
      <c r="Q40" s="36"/>
      <c r="R40" s="36"/>
      <c r="S40" s="36"/>
      <c r="T40" s="36"/>
      <c r="U40" s="36"/>
    </row>
    <row r="41">
      <c r="A41" s="23" t="s">
        <v>71</v>
      </c>
      <c r="B41" s="17"/>
      <c r="C41" s="8">
        <f t="shared" ref="C41:L41" si="19">(SUM(C$28:D$28)/SUM(K$28:L$28))^(1/5)-1</f>
        <v>0.2278189512</v>
      </c>
      <c r="D41" s="8">
        <f t="shared" si="19"/>
        <v>0.4665478439</v>
      </c>
      <c r="E41" s="8" t="str">
        <f t="shared" si="19"/>
        <v>#DIV/0!</v>
      </c>
      <c r="F41" s="8" t="str">
        <f t="shared" si="19"/>
        <v>#DIV/0!</v>
      </c>
      <c r="G41" s="8" t="str">
        <f t="shared" si="19"/>
        <v>#DIV/0!</v>
      </c>
      <c r="H41" s="8" t="str">
        <f t="shared" si="19"/>
        <v>#DIV/0!</v>
      </c>
      <c r="I41" s="8" t="str">
        <f t="shared" si="19"/>
        <v>#DIV/0!</v>
      </c>
      <c r="J41" s="8" t="str">
        <f t="shared" si="19"/>
        <v>#DIV/0!</v>
      </c>
      <c r="K41" s="8" t="str">
        <f t="shared" si="19"/>
        <v>#DIV/0!</v>
      </c>
      <c r="L41" s="8" t="str">
        <f t="shared" si="19"/>
        <v>#DIV/0!</v>
      </c>
      <c r="M41" s="8"/>
      <c r="N41" s="8"/>
      <c r="O41" s="8"/>
      <c r="P41" s="8"/>
      <c r="Q41" s="8"/>
      <c r="R41" s="8"/>
      <c r="S41" s="8"/>
      <c r="T41" s="8"/>
      <c r="U41" s="8"/>
    </row>
    <row r="42">
      <c r="A42" s="23"/>
      <c r="B42" s="17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>
      <c r="A43" s="23" t="s">
        <v>72</v>
      </c>
      <c r="B43" s="37">
        <f t="shared" ref="B43:B44" si="21">OFFSET($B43,0,1)</f>
        <v>22.78189512</v>
      </c>
      <c r="C43" s="6">
        <f t="shared" ref="C43:L43" si="20">C$41*100</f>
        <v>22.78189512</v>
      </c>
      <c r="D43" s="6">
        <f t="shared" si="20"/>
        <v>46.65478439</v>
      </c>
      <c r="E43" s="6" t="str">
        <f t="shared" si="20"/>
        <v>#DIV/0!</v>
      </c>
      <c r="F43" s="6" t="str">
        <f t="shared" si="20"/>
        <v>#DIV/0!</v>
      </c>
      <c r="G43" s="6" t="str">
        <f t="shared" si="20"/>
        <v>#DIV/0!</v>
      </c>
      <c r="H43" s="6" t="str">
        <f t="shared" si="20"/>
        <v>#DIV/0!</v>
      </c>
      <c r="I43" s="6" t="str">
        <f t="shared" si="20"/>
        <v>#DIV/0!</v>
      </c>
      <c r="J43" s="6" t="str">
        <f t="shared" si="20"/>
        <v>#DIV/0!</v>
      </c>
      <c r="K43" s="6" t="str">
        <f t="shared" si="20"/>
        <v>#DIV/0!</v>
      </c>
      <c r="L43" s="6" t="str">
        <f t="shared" si="20"/>
        <v>#DIV/0!</v>
      </c>
      <c r="M43" s="6"/>
      <c r="N43" s="6"/>
      <c r="O43" s="6"/>
      <c r="P43" s="6"/>
      <c r="Q43" s="6"/>
      <c r="R43" s="6"/>
      <c r="S43" s="6"/>
      <c r="T43" s="6"/>
      <c r="U43" s="6"/>
    </row>
    <row r="44">
      <c r="A44" s="23" t="s">
        <v>73</v>
      </c>
      <c r="B44" s="38">
        <f t="shared" si="21"/>
        <v>28639.92106</v>
      </c>
      <c r="C44" s="34">
        <f t="shared" ref="C44:L44" si="22">C$43*(SUM(C$28:D$28)*2)</f>
        <v>28639.92106</v>
      </c>
      <c r="D44" s="34">
        <f t="shared" si="22"/>
        <v>48230.03056</v>
      </c>
      <c r="E44" s="34" t="str">
        <f t="shared" si="22"/>
        <v>#DIV/0!</v>
      </c>
      <c r="F44" s="34" t="str">
        <f t="shared" si="22"/>
        <v>#DIV/0!</v>
      </c>
      <c r="G44" s="34" t="str">
        <f t="shared" si="22"/>
        <v>#DIV/0!</v>
      </c>
      <c r="H44" s="34" t="str">
        <f t="shared" si="22"/>
        <v>#DIV/0!</v>
      </c>
      <c r="I44" s="34" t="str">
        <f t="shared" si="22"/>
        <v>#DIV/0!</v>
      </c>
      <c r="J44" s="34" t="str">
        <f t="shared" si="22"/>
        <v>#DIV/0!</v>
      </c>
      <c r="K44" s="34" t="str">
        <f t="shared" si="22"/>
        <v>#DIV/0!</v>
      </c>
      <c r="L44" s="34" t="str">
        <f t="shared" si="22"/>
        <v>#DIV/0!</v>
      </c>
      <c r="M44" s="34"/>
      <c r="N44" s="34"/>
      <c r="O44" s="34"/>
      <c r="P44" s="34"/>
      <c r="Q44" s="34"/>
      <c r="R44" s="34"/>
      <c r="S44" s="34"/>
      <c r="T44" s="34"/>
      <c r="U44" s="34"/>
    </row>
    <row r="45">
      <c r="A45" s="23" t="s">
        <v>74</v>
      </c>
      <c r="B45" s="8">
        <f t="shared" ref="B45:L45" si="23">(B$44-B$3)/ABS(B$3)</f>
        <v>-0.1214748142</v>
      </c>
      <c r="C45" s="8">
        <f t="shared" si="23"/>
        <v>0.8567209761</v>
      </c>
      <c r="D45" s="8">
        <f t="shared" si="23"/>
        <v>3.455430075</v>
      </c>
      <c r="E45" s="8" t="str">
        <f t="shared" si="23"/>
        <v>#DIV/0!</v>
      </c>
      <c r="F45" s="8" t="str">
        <f t="shared" si="23"/>
        <v>#DIV/0!</v>
      </c>
      <c r="G45" s="8" t="str">
        <f t="shared" si="23"/>
        <v>#DIV/0!</v>
      </c>
      <c r="H45" s="8" t="str">
        <f t="shared" si="23"/>
        <v>#DIV/0!</v>
      </c>
      <c r="I45" s="8" t="str">
        <f t="shared" si="23"/>
        <v>#DIV/0!</v>
      </c>
      <c r="J45" s="8" t="str">
        <f t="shared" si="23"/>
        <v>#DIV/0!</v>
      </c>
      <c r="K45" s="8" t="str">
        <f t="shared" si="23"/>
        <v>#DIV/0!</v>
      </c>
      <c r="L45" s="8" t="str">
        <f t="shared" si="23"/>
        <v>#DIV/0!</v>
      </c>
      <c r="M45" s="8"/>
      <c r="N45" s="8"/>
      <c r="O45" s="8"/>
      <c r="P45" s="8"/>
      <c r="Q45" s="8"/>
      <c r="R45" s="8"/>
      <c r="S45" s="8"/>
      <c r="T45" s="8"/>
      <c r="U45" s="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9" t="s">
        <v>77</v>
      </c>
      <c r="C1" s="39"/>
      <c r="E1" s="39" t="s">
        <v>78</v>
      </c>
      <c r="F1" s="39"/>
      <c r="H1" s="39" t="s">
        <v>79</v>
      </c>
      <c r="I1" s="39"/>
    </row>
    <row r="2">
      <c r="B2" s="40" t="s">
        <v>39</v>
      </c>
      <c r="C2" s="41">
        <v>10.0</v>
      </c>
      <c r="E2" s="40" t="s">
        <v>39</v>
      </c>
      <c r="F2" s="41">
        <v>25.0</v>
      </c>
      <c r="H2" s="40" t="s">
        <v>39</v>
      </c>
      <c r="I2" s="41">
        <v>50.0</v>
      </c>
    </row>
    <row r="3">
      <c r="B3" s="40" t="s">
        <v>38</v>
      </c>
      <c r="C3" s="41">
        <v>11.0</v>
      </c>
      <c r="E3" s="40" t="s">
        <v>38</v>
      </c>
      <c r="F3" s="41">
        <v>26.0</v>
      </c>
      <c r="H3" s="40" t="s">
        <v>38</v>
      </c>
      <c r="I3" s="41">
        <v>51.0</v>
      </c>
    </row>
    <row r="4">
      <c r="B4" s="40" t="s">
        <v>37</v>
      </c>
      <c r="C4" s="41">
        <v>12.0</v>
      </c>
      <c r="E4" s="40" t="s">
        <v>37</v>
      </c>
      <c r="F4" s="41">
        <v>27.0</v>
      </c>
      <c r="H4" s="40" t="s">
        <v>37</v>
      </c>
      <c r="I4" s="41">
        <v>52.0</v>
      </c>
    </row>
    <row r="5">
      <c r="B5" s="40" t="s">
        <v>36</v>
      </c>
      <c r="C5" s="41">
        <v>13.0</v>
      </c>
      <c r="E5" s="40" t="s">
        <v>36</v>
      </c>
      <c r="F5" s="41">
        <v>28.0</v>
      </c>
      <c r="H5" s="40" t="s">
        <v>36</v>
      </c>
      <c r="I5" s="41">
        <v>53.0</v>
      </c>
    </row>
    <row r="6">
      <c r="B6" s="40" t="s">
        <v>35</v>
      </c>
      <c r="C6" s="41">
        <v>14.0</v>
      </c>
      <c r="E6" s="40" t="s">
        <v>35</v>
      </c>
      <c r="F6" s="41">
        <v>29.0</v>
      </c>
      <c r="H6" s="40" t="s">
        <v>35</v>
      </c>
      <c r="I6" s="41">
        <v>54.0</v>
      </c>
    </row>
    <row r="7">
      <c r="B7" s="40" t="s">
        <v>34</v>
      </c>
      <c r="C7" s="41">
        <v>15.0</v>
      </c>
      <c r="E7" s="40" t="s">
        <v>34</v>
      </c>
      <c r="F7" s="41">
        <v>30.0</v>
      </c>
      <c r="H7" s="40" t="s">
        <v>34</v>
      </c>
      <c r="I7" s="41">
        <v>55.0</v>
      </c>
    </row>
    <row r="8">
      <c r="B8" s="40" t="s">
        <v>33</v>
      </c>
      <c r="C8" s="41">
        <v>16.0</v>
      </c>
      <c r="E8" s="40" t="s">
        <v>33</v>
      </c>
      <c r="F8" s="41">
        <v>31.0</v>
      </c>
      <c r="H8" s="40" t="s">
        <v>33</v>
      </c>
      <c r="I8" s="41">
        <v>56.0</v>
      </c>
    </row>
    <row r="9">
      <c r="B9" s="40" t="s">
        <v>32</v>
      </c>
      <c r="C9" s="41">
        <v>17.0</v>
      </c>
      <c r="E9" s="40" t="s">
        <v>32</v>
      </c>
      <c r="F9" s="41">
        <v>32.0</v>
      </c>
      <c r="H9" s="40" t="s">
        <v>32</v>
      </c>
      <c r="I9" s="41">
        <v>57.0</v>
      </c>
    </row>
    <row r="10">
      <c r="B10" s="40" t="s">
        <v>31</v>
      </c>
      <c r="C10" s="41">
        <v>18.0</v>
      </c>
      <c r="E10" s="40" t="s">
        <v>31</v>
      </c>
      <c r="F10" s="41">
        <v>33.0</v>
      </c>
      <c r="H10" s="40" t="s">
        <v>31</v>
      </c>
      <c r="I10" s="41">
        <v>58.0</v>
      </c>
    </row>
    <row r="11">
      <c r="B11" s="40" t="s">
        <v>30</v>
      </c>
      <c r="C11" s="41">
        <v>19.0</v>
      </c>
      <c r="E11" s="40" t="s">
        <v>30</v>
      </c>
      <c r="F11" s="41">
        <v>34.0</v>
      </c>
      <c r="H11" s="40" t="s">
        <v>30</v>
      </c>
      <c r="I11" s="41">
        <v>59.0</v>
      </c>
    </row>
    <row r="12">
      <c r="B12" s="40" t="s">
        <v>29</v>
      </c>
      <c r="C12" s="41">
        <v>20.0</v>
      </c>
      <c r="E12" s="40" t="s">
        <v>29</v>
      </c>
      <c r="F12" s="41">
        <v>35.0</v>
      </c>
      <c r="H12" s="40" t="s">
        <v>29</v>
      </c>
      <c r="I12" s="41">
        <v>60.0</v>
      </c>
    </row>
    <row r="13">
      <c r="B13" s="40" t="s">
        <v>28</v>
      </c>
      <c r="C13" s="41">
        <v>21.0</v>
      </c>
      <c r="E13" s="40" t="s">
        <v>28</v>
      </c>
      <c r="F13" s="41">
        <v>36.0</v>
      </c>
      <c r="H13" s="40" t="s">
        <v>28</v>
      </c>
      <c r="I13" s="41">
        <v>61.0</v>
      </c>
    </row>
    <row r="14">
      <c r="B14" s="40" t="s">
        <v>27</v>
      </c>
      <c r="C14" s="41">
        <v>22.0</v>
      </c>
      <c r="E14" s="40" t="s">
        <v>27</v>
      </c>
      <c r="F14" s="41">
        <v>37.0</v>
      </c>
      <c r="H14" s="40" t="s">
        <v>27</v>
      </c>
      <c r="I14" s="41">
        <v>62.0</v>
      </c>
    </row>
    <row r="15">
      <c r="B15" s="40" t="s">
        <v>26</v>
      </c>
      <c r="C15" s="41">
        <v>23.0</v>
      </c>
      <c r="E15" s="40" t="s">
        <v>26</v>
      </c>
      <c r="F15" s="41">
        <v>38.0</v>
      </c>
      <c r="H15" s="40" t="s">
        <v>26</v>
      </c>
      <c r="I15" s="41">
        <v>63.0</v>
      </c>
    </row>
    <row r="16">
      <c r="B16" s="40" t="s">
        <v>25</v>
      </c>
      <c r="C16" s="41">
        <v>24.0</v>
      </c>
      <c r="E16" s="40" t="s">
        <v>25</v>
      </c>
      <c r="F16" s="41">
        <v>39.0</v>
      </c>
      <c r="H16" s="40" t="s">
        <v>25</v>
      </c>
      <c r="I16" s="41">
        <v>64.0</v>
      </c>
    </row>
    <row r="17">
      <c r="B17" s="40" t="s">
        <v>24</v>
      </c>
      <c r="C17" s="41">
        <v>25.0</v>
      </c>
      <c r="E17" s="40" t="s">
        <v>24</v>
      </c>
      <c r="F17" s="41">
        <v>40.0</v>
      </c>
      <c r="H17" s="40" t="s">
        <v>24</v>
      </c>
      <c r="I17" s="41">
        <v>65.0</v>
      </c>
    </row>
    <row r="18">
      <c r="B18" s="40" t="s">
        <v>23</v>
      </c>
      <c r="C18" s="41">
        <v>26.0</v>
      </c>
      <c r="E18" s="40" t="s">
        <v>23</v>
      </c>
      <c r="F18" s="41">
        <v>41.0</v>
      </c>
      <c r="H18" s="40" t="s">
        <v>23</v>
      </c>
      <c r="I18" s="41">
        <v>66.0</v>
      </c>
    </row>
    <row r="19">
      <c r="B19" s="40" t="s">
        <v>22</v>
      </c>
      <c r="C19" s="41">
        <v>27.0</v>
      </c>
      <c r="E19" s="40" t="s">
        <v>22</v>
      </c>
      <c r="F19" s="41">
        <v>42.0</v>
      </c>
      <c r="H19" s="40" t="s">
        <v>22</v>
      </c>
      <c r="I19" s="41">
        <v>67.0</v>
      </c>
    </row>
    <row r="20">
      <c r="B20" s="40" t="s">
        <v>21</v>
      </c>
      <c r="C20" s="41">
        <v>28.0</v>
      </c>
      <c r="E20" s="40" t="s">
        <v>21</v>
      </c>
      <c r="F20" s="41">
        <v>43.0</v>
      </c>
      <c r="H20" s="40" t="s">
        <v>21</v>
      </c>
      <c r="I20" s="41">
        <v>68.0</v>
      </c>
    </row>
    <row r="21">
      <c r="B21" s="40" t="s">
        <v>20</v>
      </c>
      <c r="C21" s="41">
        <v>29.0</v>
      </c>
      <c r="E21" s="40" t="s">
        <v>20</v>
      </c>
      <c r="F21" s="41">
        <v>44.0</v>
      </c>
      <c r="H21" s="40" t="s">
        <v>20</v>
      </c>
      <c r="I21" s="41">
        <v>69.0</v>
      </c>
    </row>
  </sheetData>
  <drawing r:id="rId1"/>
</worksheet>
</file>